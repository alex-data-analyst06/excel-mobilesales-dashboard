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lexa\Desktop\"/>
    </mc:Choice>
  </mc:AlternateContent>
  <xr:revisionPtr revIDLastSave="0" documentId="13_ncr:1_{FE4F190A-763C-4CEF-96D2-E11B856ACAD8}" xr6:coauthVersionLast="47" xr6:coauthVersionMax="47" xr10:uidLastSave="{00000000-0000-0000-0000-000000000000}"/>
  <bookViews>
    <workbookView xWindow="-108" yWindow="-108" windowWidth="23256" windowHeight="12456" activeTab="2" xr2:uid="{00000000-000D-0000-FFFF-FFFF00000000}"/>
  </bookViews>
  <sheets>
    <sheet name="Raw_Data" sheetId="1" r:id="rId1"/>
    <sheet name="Pivots" sheetId="2" r:id="rId2"/>
    <sheet name="Dashboard" sheetId="3" r:id="rId3"/>
  </sheets>
  <definedNames>
    <definedName name="Slicer_Brand">#N/A</definedName>
    <definedName name="Slicer_City">#N/A</definedName>
    <definedName name="Slicer_Model">#N/A</definedName>
    <definedName name="Slicer_Salesperson">#N/A</definedName>
  </definedNames>
  <calcPr calcId="191029"/>
  <pivotCaches>
    <pivotCache cacheId="27" r:id="rId4"/>
  </pivotCaches>
  <fileRecoveryPr repairLoad="1"/>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L8" i="1" l="1"/>
  <c r="L6" i="1"/>
  <c r="L4" i="1"/>
  <c r="L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2"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alcChain>
</file>

<file path=xl/sharedStrings.xml><?xml version="1.0" encoding="utf-8"?>
<sst xmlns="http://schemas.openxmlformats.org/spreadsheetml/2006/main" count="644" uniqueCount="41">
  <si>
    <t>Date</t>
  </si>
  <si>
    <t>City</t>
  </si>
  <si>
    <t>Brand</t>
  </si>
  <si>
    <t>Model</t>
  </si>
  <si>
    <t>Salesperson</t>
  </si>
  <si>
    <t>Units_Sold</t>
  </si>
  <si>
    <t>Price</t>
  </si>
  <si>
    <t>Bangalore</t>
  </si>
  <si>
    <t>Apple</t>
  </si>
  <si>
    <t>iPhone 14</t>
  </si>
  <si>
    <t>Priya</t>
  </si>
  <si>
    <t>Samsung</t>
  </si>
  <si>
    <t>S22</t>
  </si>
  <si>
    <t>Meena</t>
  </si>
  <si>
    <t>OnePlus</t>
  </si>
  <si>
    <t>11R</t>
  </si>
  <si>
    <t>Rahul</t>
  </si>
  <si>
    <t>Mumbai</t>
  </si>
  <si>
    <t>Kiran</t>
  </si>
  <si>
    <t>Vivo</t>
  </si>
  <si>
    <t>V27</t>
  </si>
  <si>
    <t>Chennai</t>
  </si>
  <si>
    <t>iPhone 13</t>
  </si>
  <si>
    <t>10T</t>
  </si>
  <si>
    <t>Delhi</t>
  </si>
  <si>
    <t>S23</t>
  </si>
  <si>
    <t>Hyderabad</t>
  </si>
  <si>
    <t>Arjun</t>
  </si>
  <si>
    <t>Total sales</t>
  </si>
  <si>
    <t>Row Labels</t>
  </si>
  <si>
    <t>Grand Total</t>
  </si>
  <si>
    <t>Sum of Total sales</t>
  </si>
  <si>
    <t>Jan</t>
  </si>
  <si>
    <t>Feb</t>
  </si>
  <si>
    <t>Mar</t>
  </si>
  <si>
    <t>Apr</t>
  </si>
  <si>
    <t>May</t>
  </si>
  <si>
    <t>Grand total</t>
  </si>
  <si>
    <t>Units Sold</t>
  </si>
  <si>
    <t>Average sales</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</si>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</sst>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quot;₹&quot;\ #,##0.00"/>
    <numFmt numFmtId="165" formatCode="0.0,,&quot;L&quot;"/>
    <numFmt numFmtId="166" formatCode="&quot;₹&quot;\ #,##0"/>
  </numFmts>
  <fonts count="1" x14ac:knownFonts="1">
    <font>
      <sz val="11"/>
      <color theme="1"/>
      <name val="Calibri"/>
      <family val="2"/>
      <scheme val="minor"/>
    </font>
  </fonts>
  <fills count="3">
    <fill>
      <patternFill patternType="none"/>
    </fill>
    <fill>
      <patternFill patternType="gray125"/>
    </fill>
    <fill>
      <patternFill patternType="solid">
        <fgColor theme="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4" fontId="0" fillId="0" borderId="0" xfId="0" applyNumberFormat="1"/>
    <xf numFmtId="2" fontId="0" fillId="0" borderId="0" xfId="0" applyNumberFormat="1"/>
    <xf numFmtId="166" fontId="0" fillId="0" borderId="0" xfId="0" applyNumberFormat="1"/>
    <xf numFmtId="0" fontId="0" fillId="0" borderId="0" xfId="0" applyAlignment="1">
      <alignment horizontal="center"/>
    </xf>
    <xf numFmtId="0" fontId="0" fillId="2" borderId="1" xfId="0" applyFill="1" applyBorder="1"/>
    <xf numFmtId="44" fontId="0" fillId="0" borderId="0" xfId="0" applyNumberFormat="1"/>
  </cellXfs>
  <cellStyles count="1">
    <cellStyle name="Normal" xfId="0" builtinId="0"/>
  </cellStyles>
  <dxfs count="7">
    <dxf>
      <numFmt numFmtId="165" formatCode="0.0,,&quot;L&quot;"/>
    </dxf>
    <dxf>
      <numFmt numFmtId="167" formatCode="\ 0,,&quot;L&quot;"/>
    </dxf>
    <dxf>
      <numFmt numFmtId="165" formatCode="0.0,,&quot;L&quot;"/>
    </dxf>
    <dxf>
      <numFmt numFmtId="165" formatCode="0.0,,&quot;L&quot;"/>
    </dxf>
    <dxf>
      <numFmt numFmtId="164" formatCode="&quot;₹&quot;\ #,##0.00"/>
    </dxf>
    <dxf>
      <numFmt numFmtId="0" formatCode="General"/>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[Excel-MobileSales-Dashboard.xlsx]Pivots!Brand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Revenue</a:t>
            </a:r>
            <a:r>
              <a:rPr lang="en-IN" b="1" baseline="0"/>
              <a:t> by Brand</a:t>
            </a:r>
            <a:endParaRPr lang="en-IN" b="1"/>
          </a:p>
        </c:rich>
      </c:tx>
      <c:layout>
        <c:manualLayout>
          <c:xMode val="edge"/>
          <c:yMode val="edge"/>
          <c:x val="0.30461477125485897"/>
          <c:y val="0.105641874979531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056502430867026"/>
          <c:y val="0.25265250934542272"/>
          <c:w val="0.41535405384453528"/>
          <c:h val="0.70188171665707566"/>
        </c:manualLayout>
      </c:layout>
      <c:doughnutChart>
        <c:varyColors val="1"/>
        <c:ser>
          <c:idx val="0"/>
          <c:order val="0"/>
          <c:tx>
            <c:strRef>
              <c:f>Pivots!$B$1</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Lbls>
            <c:spPr>
              <a:noFill/>
              <a:ln>
                <a:noFill/>
              </a:ln>
              <a:effectLst/>
            </c:spPr>
            <c:txPr>
              <a:bodyPr rot="0" spcFirstLastPara="1" vertOverflow="ellipsis" vert="horz" wrap="square" lIns="3810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Pivots!$A$2:$A$6</c:f>
              <c:strCache>
                <c:ptCount val="4"/>
                <c:pt idx="0">
                  <c:v>Apple</c:v>
                </c:pt>
                <c:pt idx="1">
                  <c:v>OnePlus</c:v>
                </c:pt>
                <c:pt idx="2">
                  <c:v>Samsung</c:v>
                </c:pt>
                <c:pt idx="3">
                  <c:v>Vivo</c:v>
                </c:pt>
              </c:strCache>
            </c:strRef>
          </c:cat>
          <c:val>
            <c:numRef>
              <c:f>Pivots!$B$2:$B$6</c:f>
              <c:numCache>
                <c:formatCode>0.0,,"L"</c:formatCode>
                <c:ptCount val="4"/>
                <c:pt idx="0">
                  <c:v>15640000</c:v>
                </c:pt>
                <c:pt idx="1">
                  <c:v>4940000</c:v>
                </c:pt>
                <c:pt idx="2">
                  <c:v>10270000</c:v>
                </c:pt>
                <c:pt idx="3">
                  <c:v>4725000</c:v>
                </c:pt>
              </c:numCache>
            </c:numRef>
          </c:val>
          <c:extLst>
            <c:ext xmlns:c16="http://schemas.microsoft.com/office/drawing/2014/chart" uri="{C3380CC4-5D6E-409C-BE32-E72D297353CC}">
              <c16:uniqueId val="{00000000-C303-479D-BCE1-3BD83E390BD7}"/>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[Excel-MobileSales-Dashboard.xlsx]Pivots!PivotTable7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Pivots!$A$11:$A$16</c:f>
              <c:strCache>
                <c:ptCount val="5"/>
                <c:pt idx="0">
                  <c:v>Bangalore</c:v>
                </c:pt>
                <c:pt idx="1">
                  <c:v>Chennai</c:v>
                </c:pt>
                <c:pt idx="2">
                  <c:v>Delhi</c:v>
                </c:pt>
                <c:pt idx="3">
                  <c:v>Hyderabad</c:v>
                </c:pt>
                <c:pt idx="4">
                  <c:v>Mumbai</c:v>
                </c:pt>
              </c:strCache>
            </c:strRef>
          </c:cat>
          <c:val>
            <c:numRef>
              <c:f>Pivots!$B$11:$B$16</c:f>
              <c:numCache>
                <c:formatCode>0.0,,"L"</c:formatCode>
                <c:ptCount val="5"/>
                <c:pt idx="0">
                  <c:v>10342000</c:v>
                </c:pt>
                <c:pt idx="1">
                  <c:v>6674000</c:v>
                </c:pt>
                <c:pt idx="2">
                  <c:v>6410000</c:v>
                </c:pt>
                <c:pt idx="3">
                  <c:v>6190000</c:v>
                </c:pt>
                <c:pt idx="4">
                  <c:v>5959000</c:v>
                </c:pt>
              </c:numCache>
            </c:numRef>
          </c:val>
          <c:extLst>
            <c:ext xmlns:c16="http://schemas.microsoft.com/office/drawing/2014/chart" uri="{C3380CC4-5D6E-409C-BE32-E72D297353CC}">
              <c16:uniqueId val="{00000000-2812-4778-97BC-5FBA4FD42B38}"/>
            </c:ext>
          </c:extLst>
        </c:ser>
        <c:dLbls>
          <c:dLblPos val="outEnd"/>
          <c:showLegendKey val="0"/>
          <c:showVal val="1"/>
          <c:showCatName val="0"/>
          <c:showSerName val="0"/>
          <c:showPercent val="0"/>
          <c:showBubbleSize val="0"/>
        </c:dLbls>
        <c:gapWidth val="182"/>
        <c:axId val="111198671"/>
        <c:axId val="103221087"/>
      </c:barChart>
      <c:catAx>
        <c:axId val="111198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03221087"/>
        <c:crosses val="autoZero"/>
        <c:auto val="1"/>
        <c:lblAlgn val="ctr"/>
        <c:lblOffset val="100"/>
        <c:noMultiLvlLbl val="0"/>
      </c:catAx>
      <c:valAx>
        <c:axId val="103221087"/>
        <c:scaling>
          <c:orientation val="minMax"/>
        </c:scaling>
        <c:delete val="0"/>
        <c:axPos val="b"/>
        <c:numFmt formatCode="0.0,,&quot;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98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[Excel-MobileSales-Dashboard.xlsx]Pivots!PivotTable5</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Pivots!$E$1</c:f>
              <c:strCache>
                <c:ptCount val="1"/>
                <c:pt idx="0">
                  <c:v>Total</c:v>
                </c:pt>
              </c:strCache>
            </c:strRef>
          </c:tx>
          <c:spPr>
            <a:solidFill>
              <a:schemeClr val="accent1"/>
            </a:solidFill>
            <a:ln>
              <a:noFill/>
            </a:ln>
            <a:effectLst/>
          </c:spPr>
          <c:invertIfNegative val="0"/>
          <c:cat>
            <c:strRef>
              <c:f>Pivots!$D$2:$D$7</c:f>
              <c:strCache>
                <c:ptCount val="5"/>
                <c:pt idx="0">
                  <c:v>Arjun</c:v>
                </c:pt>
                <c:pt idx="1">
                  <c:v>Kiran</c:v>
                </c:pt>
                <c:pt idx="2">
                  <c:v>Meena</c:v>
                </c:pt>
                <c:pt idx="3">
                  <c:v>Priya</c:v>
                </c:pt>
                <c:pt idx="4">
                  <c:v>Rahul</c:v>
                </c:pt>
              </c:strCache>
            </c:strRef>
          </c:cat>
          <c:val>
            <c:numRef>
              <c:f>Pivots!$E$2:$E$7</c:f>
              <c:numCache>
                <c:formatCode>0.0,,"L"</c:formatCode>
                <c:ptCount val="5"/>
                <c:pt idx="0">
                  <c:v>6477000</c:v>
                </c:pt>
                <c:pt idx="1">
                  <c:v>7915000</c:v>
                </c:pt>
                <c:pt idx="2">
                  <c:v>8533000</c:v>
                </c:pt>
                <c:pt idx="3">
                  <c:v>7618000</c:v>
                </c:pt>
                <c:pt idx="4">
                  <c:v>5032000</c:v>
                </c:pt>
              </c:numCache>
            </c:numRef>
          </c:val>
          <c:extLst>
            <c:ext xmlns:c16="http://schemas.microsoft.com/office/drawing/2014/chart" uri="{C3380CC4-5D6E-409C-BE32-E72D297353CC}">
              <c16:uniqueId val="{00000000-4AD9-42A2-91A5-95291E2F84E2}"/>
            </c:ext>
          </c:extLst>
        </c:ser>
        <c:dLbls>
          <c:showLegendKey val="0"/>
          <c:showVal val="0"/>
          <c:showCatName val="0"/>
          <c:showSerName val="0"/>
          <c:showPercent val="0"/>
          <c:showBubbleSize val="0"/>
        </c:dLbls>
        <c:gapWidth val="219"/>
        <c:overlap val="-27"/>
        <c:axId val="1349076608"/>
        <c:axId val="1349065088"/>
      </c:barChart>
      <c:catAx>
        <c:axId val="134907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065088"/>
        <c:crosses val="autoZero"/>
        <c:auto val="1"/>
        <c:lblAlgn val="ctr"/>
        <c:lblOffset val="100"/>
        <c:noMultiLvlLbl val="0"/>
      </c:catAx>
      <c:valAx>
        <c:axId val="1349065088"/>
        <c:scaling>
          <c:orientation val="minMax"/>
        </c:scaling>
        <c:delete val="0"/>
        <c:axPos val="l"/>
        <c:majorGridlines>
          <c:spPr>
            <a:ln w="9525" cap="flat" cmpd="sng" algn="ctr">
              <a:solidFill>
                <a:schemeClr val="tx1">
                  <a:lumMod val="15000"/>
                  <a:lumOff val="85000"/>
                </a:schemeClr>
              </a:solidFill>
              <a:round/>
            </a:ln>
            <a:effectLst/>
          </c:spPr>
        </c:majorGridlines>
        <c:numFmt formatCode="0.0,,&quot;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07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[Excel-MobileSales-Dashboard.xlsx]Pivots!PivotTable1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Pivots!$H$1</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Pivots!$G$2:$G$7</c:f>
              <c:strCache>
                <c:ptCount val="5"/>
                <c:pt idx="0">
                  <c:v>Jan</c:v>
                </c:pt>
                <c:pt idx="1">
                  <c:v>Feb</c:v>
                </c:pt>
                <c:pt idx="2">
                  <c:v>Mar</c:v>
                </c:pt>
                <c:pt idx="3">
                  <c:v>Apr</c:v>
                </c:pt>
                <c:pt idx="4">
                  <c:v>May</c:v>
                </c:pt>
              </c:strCache>
            </c:strRef>
          </c:cat>
          <c:val>
            <c:numRef>
              <c:f>Pivots!$H$2:$H$7</c:f>
              <c:numCache>
                <c:formatCode>"₹"\ #,##0.00</c:formatCode>
                <c:ptCount val="5"/>
                <c:pt idx="0">
                  <c:v>7079000</c:v>
                </c:pt>
                <c:pt idx="1">
                  <c:v>7221000</c:v>
                </c:pt>
                <c:pt idx="2">
                  <c:v>7970000</c:v>
                </c:pt>
                <c:pt idx="3">
                  <c:v>6250000</c:v>
                </c:pt>
                <c:pt idx="4">
                  <c:v>7055000</c:v>
                </c:pt>
              </c:numCache>
            </c:numRef>
          </c:val>
          <c:smooth val="0"/>
          <c:extLst>
            <c:ext xmlns:c16="http://schemas.microsoft.com/office/drawing/2014/chart" uri="{C3380CC4-5D6E-409C-BE32-E72D297353CC}">
              <c16:uniqueId val="{00000000-F9AF-48C9-9AFC-A0160AB9962E}"/>
            </c:ext>
          </c:extLst>
        </c:ser>
        <c:dLbls>
          <c:showLegendKey val="0"/>
          <c:showVal val="0"/>
          <c:showCatName val="0"/>
          <c:showSerName val="0"/>
          <c:showPercent val="0"/>
          <c:showBubbleSize val="0"/>
        </c:dLbls>
        <c:marker val="1"/>
        <c:smooth val="0"/>
        <c:axId val="1349104448"/>
        <c:axId val="1349104928"/>
      </c:lineChart>
      <c:catAx>
        <c:axId val="13491044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104928"/>
        <c:crosses val="autoZero"/>
        <c:auto val="1"/>
        <c:lblAlgn val="ctr"/>
        <c:lblOffset val="100"/>
        <c:noMultiLvlLbl val="0"/>
      </c:catAx>
      <c:valAx>
        <c:axId val="13491049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10444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[Excel-MobileSales-Dashboard.xlsx]Pivots!Brand</c:name>
    <c:fmtId val="17"/>
  </c:pivotSource>
  <c:chart>
    <c:title>
      <c:tx>
        <c:rich>
          <a:bodyPr rot="0" spcFirstLastPara="1" vertOverflow="ellipsis" vert="horz" wrap="square" anchor="ctr" anchorCtr="1"/>
          <a:lstStyle/>
          <a:p>
            <a:pPr>
              <a:defRPr sz="2000" b="1" i="1" u="none" strike="noStrike" kern="1200" cap="none" spc="20" baseline="0">
                <a:solidFill>
                  <a:schemeClr val="tx1">
                    <a:lumMod val="50000"/>
                    <a:lumOff val="50000"/>
                  </a:schemeClr>
                </a:solidFill>
                <a:latin typeface="Book Antiqua" panose="02040602050305030304" pitchFamily="18" charset="0"/>
                <a:ea typeface="+mn-ea"/>
                <a:cs typeface="+mn-cs"/>
              </a:defRPr>
            </a:pPr>
            <a:r>
              <a:rPr lang="en-IN" sz="2000" b="1" i="1">
                <a:latin typeface="Book Antiqua" panose="02040602050305030304" pitchFamily="18" charset="0"/>
              </a:rPr>
              <a:t>Revenue by Brand</a:t>
            </a:r>
          </a:p>
        </c:rich>
      </c:tx>
      <c:layout>
        <c:manualLayout>
          <c:xMode val="edge"/>
          <c:yMode val="edge"/>
          <c:x val="3.636248963813158E-2"/>
          <c:y val="3.9100813511243677E-2"/>
        </c:manualLayout>
      </c:layout>
      <c:overlay val="0"/>
      <c:spPr>
        <a:noFill/>
        <a:ln>
          <a:noFill/>
        </a:ln>
        <a:effectLst/>
      </c:spPr>
      <c:txPr>
        <a:bodyPr rot="0" spcFirstLastPara="1" vertOverflow="ellipsis" vert="horz" wrap="square" anchor="ctr" anchorCtr="1"/>
        <a:lstStyle/>
        <a:p>
          <a:pPr>
            <a:defRPr sz="2000" b="1" i="1" u="none" strike="noStrike" kern="1200" cap="none" spc="20" baseline="0">
              <a:solidFill>
                <a:schemeClr val="tx1">
                  <a:lumMod val="50000"/>
                  <a:lumOff val="50000"/>
                </a:schemeClr>
              </a:solidFill>
              <a:latin typeface="Book Antiqua" panose="02040602050305030304" pitchFamily="18" charset="0"/>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8"/>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pivotFmt>
      <c:pivotFmt>
        <c:idx val="9"/>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pivotFmt>
      <c:pivotFmt>
        <c:idx val="1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pivotFmt>
    </c:pivotFmts>
    <c:plotArea>
      <c:layout>
        <c:manualLayout>
          <c:layoutTarget val="inner"/>
          <c:xMode val="edge"/>
          <c:yMode val="edge"/>
          <c:x val="0.28402981807238997"/>
          <c:y val="0.16369276065319208"/>
          <c:w val="0.42314415734842931"/>
          <c:h val="0.75557763526330046"/>
        </c:manualLayout>
      </c:layout>
      <c:doughnutChart>
        <c:varyColors val="1"/>
        <c:ser>
          <c:idx val="0"/>
          <c:order val="0"/>
          <c:tx>
            <c:strRef>
              <c:f>Pivots!$B$1</c:f>
              <c:strCache>
                <c:ptCount val="1"/>
                <c:pt idx="0">
                  <c:v>Total</c:v>
                </c:pt>
              </c:strCache>
            </c:strRef>
          </c:tx>
          <c:dPt>
            <c:idx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B046-48DD-AACE-AE245BF08559}"/>
              </c:ext>
            </c:extLst>
          </c:dPt>
          <c:dPt>
            <c:idx val="1"/>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B046-48DD-AACE-AE245BF08559}"/>
              </c:ext>
            </c:extLst>
          </c:dPt>
          <c:dPt>
            <c:idx val="2"/>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B046-48DD-AACE-AE245BF08559}"/>
              </c:ext>
            </c:extLst>
          </c:dPt>
          <c:dPt>
            <c:idx val="3"/>
            <c:bubble3D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7-B046-48DD-AACE-AE245BF085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Pivots!$A$2:$A$6</c:f>
              <c:strCache>
                <c:ptCount val="4"/>
                <c:pt idx="0">
                  <c:v>Apple</c:v>
                </c:pt>
                <c:pt idx="1">
                  <c:v>OnePlus</c:v>
                </c:pt>
                <c:pt idx="2">
                  <c:v>Samsung</c:v>
                </c:pt>
                <c:pt idx="3">
                  <c:v>Vivo</c:v>
                </c:pt>
              </c:strCache>
            </c:strRef>
          </c:cat>
          <c:val>
            <c:numRef>
              <c:f>Pivots!$B$2:$B$6</c:f>
              <c:numCache>
                <c:formatCode>0.0,,"L"</c:formatCode>
                <c:ptCount val="4"/>
                <c:pt idx="0">
                  <c:v>15640000</c:v>
                </c:pt>
                <c:pt idx="1">
                  <c:v>4940000</c:v>
                </c:pt>
                <c:pt idx="2">
                  <c:v>10270000</c:v>
                </c:pt>
                <c:pt idx="3">
                  <c:v>4725000</c:v>
                </c:pt>
              </c:numCache>
            </c:numRef>
          </c:val>
          <c:extLst>
            <c:ext xmlns:c16="http://schemas.microsoft.com/office/drawing/2014/chart" uri="{C3380CC4-5D6E-409C-BE32-E72D297353CC}">
              <c16:uniqueId val="{00000008-B046-48DD-AACE-AE245BF0855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[Excel-MobileSales-Dashboard.xlsx]Pivots!PivotTable7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latin typeface="Book Antiqua" panose="02040602050305030304" pitchFamily="18" charset="0"/>
              </a:rPr>
              <a:t>Revenue</a:t>
            </a:r>
            <a:r>
              <a:rPr lang="en-US" sz="2000" b="1" baseline="0">
                <a:latin typeface="Book Antiqua" panose="02040602050305030304" pitchFamily="18" charset="0"/>
              </a:rPr>
              <a:t>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28719631817311"/>
          <c:y val="0.18020220266884215"/>
          <c:w val="0.79460587107889835"/>
          <c:h val="0.68131186161312607"/>
        </c:manualLayout>
      </c:layout>
      <c:barChart>
        <c:barDir val="bar"/>
        <c:grouping val="clustered"/>
        <c:varyColors val="0"/>
        <c:ser>
          <c:idx val="0"/>
          <c:order val="0"/>
          <c:tx>
            <c:strRef>
              <c:f>Pivots!$B$10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Pivots!$A$11:$A$16</c:f>
              <c:strCache>
                <c:ptCount val="5"/>
                <c:pt idx="0">
                  <c:v>Bangalore</c:v>
                </c:pt>
                <c:pt idx="1">
                  <c:v>Chennai</c:v>
                </c:pt>
                <c:pt idx="2">
                  <c:v>Delhi</c:v>
                </c:pt>
                <c:pt idx="3">
                  <c:v>Hyderabad</c:v>
                </c:pt>
                <c:pt idx="4">
                  <c:v>Mumbai</c:v>
                </c:pt>
              </c:strCache>
            </c:strRef>
          </c:cat>
          <c:val>
            <c:numRef>
              <c:f>Pivots!$B$11:$B$16</c:f>
              <c:numCache>
                <c:formatCode>0.0,,"L"</c:formatCode>
                <c:ptCount val="5"/>
                <c:pt idx="0">
                  <c:v>10342000</c:v>
                </c:pt>
                <c:pt idx="1">
                  <c:v>6674000</c:v>
                </c:pt>
                <c:pt idx="2">
                  <c:v>6410000</c:v>
                </c:pt>
                <c:pt idx="3">
                  <c:v>6190000</c:v>
                </c:pt>
                <c:pt idx="4">
                  <c:v>5959000</c:v>
                </c:pt>
              </c:numCache>
            </c:numRef>
          </c:val>
          <c:extLst>
            <c:ext xmlns:c16="http://schemas.microsoft.com/office/drawing/2014/chart" uri="{C3380CC4-5D6E-409C-BE32-E72D297353CC}">
              <c16:uniqueId val="{00000000-55FE-4D9F-8668-67776B142177}"/>
            </c:ext>
          </c:extLst>
        </c:ser>
        <c:dLbls>
          <c:dLblPos val="outEnd"/>
          <c:showLegendKey val="0"/>
          <c:showVal val="1"/>
          <c:showCatName val="0"/>
          <c:showSerName val="0"/>
          <c:showPercent val="0"/>
          <c:showBubbleSize val="0"/>
        </c:dLbls>
        <c:gapWidth val="182"/>
        <c:axId val="111198671"/>
        <c:axId val="103221087"/>
      </c:barChart>
      <c:catAx>
        <c:axId val="111198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21087"/>
        <c:crosses val="autoZero"/>
        <c:auto val="1"/>
        <c:lblAlgn val="ctr"/>
        <c:lblOffset val="100"/>
        <c:noMultiLvlLbl val="0"/>
      </c:catAx>
      <c:valAx>
        <c:axId val="103221087"/>
        <c:scaling>
          <c:orientation val="minMax"/>
        </c:scaling>
        <c:delete val="0"/>
        <c:axPos val="b"/>
        <c:numFmt formatCode="0.0,,&quot;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98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[Excel-MobileSales-Dashboard.xlsx]Pivots!PivotTable5</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baseline="0">
                <a:latin typeface="Book Antiqua" panose="02040602050305030304" pitchFamily="18" charset="0"/>
              </a:rPr>
              <a:t>Revenue by Salesperson</a:t>
            </a:r>
            <a:endParaRPr lang="en-US" sz="2000" b="1">
              <a:latin typeface="Book Antiqua" panose="02040602050305030304" pitchFamily="18" charset="0"/>
            </a:endParaRPr>
          </a:p>
        </c:rich>
      </c:tx>
      <c:layout>
        <c:manualLayout>
          <c:xMode val="edge"/>
          <c:yMode val="edge"/>
          <c:x val="0.18854301998905254"/>
          <c:y val="5.19682887047129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Pivots!$E$1</c:f>
              <c:strCache>
                <c:ptCount val="1"/>
                <c:pt idx="0">
                  <c:v>Total</c:v>
                </c:pt>
              </c:strCache>
            </c:strRef>
          </c:tx>
          <c:spPr>
            <a:solidFill>
              <a:schemeClr val="accent1"/>
            </a:solidFill>
            <a:ln>
              <a:noFill/>
            </a:ln>
            <a:effectLst/>
          </c:spPr>
          <c:invertIfNegative val="0"/>
          <c:cat>
            <c:strRef>
              <c:f>Pivots!$D$2:$D$7</c:f>
              <c:strCache>
                <c:ptCount val="5"/>
                <c:pt idx="0">
                  <c:v>Arjun</c:v>
                </c:pt>
                <c:pt idx="1">
                  <c:v>Kiran</c:v>
                </c:pt>
                <c:pt idx="2">
                  <c:v>Meena</c:v>
                </c:pt>
                <c:pt idx="3">
                  <c:v>Priya</c:v>
                </c:pt>
                <c:pt idx="4">
                  <c:v>Rahul</c:v>
                </c:pt>
              </c:strCache>
            </c:strRef>
          </c:cat>
          <c:val>
            <c:numRef>
              <c:f>Pivots!$E$2:$E$7</c:f>
              <c:numCache>
                <c:formatCode>0.0,,"L"</c:formatCode>
                <c:ptCount val="5"/>
                <c:pt idx="0">
                  <c:v>6477000</c:v>
                </c:pt>
                <c:pt idx="1">
                  <c:v>7915000</c:v>
                </c:pt>
                <c:pt idx="2">
                  <c:v>8533000</c:v>
                </c:pt>
                <c:pt idx="3">
                  <c:v>7618000</c:v>
                </c:pt>
                <c:pt idx="4">
                  <c:v>5032000</c:v>
                </c:pt>
              </c:numCache>
            </c:numRef>
          </c:val>
          <c:extLst>
            <c:ext xmlns:c16="http://schemas.microsoft.com/office/drawing/2014/chart" uri="{C3380CC4-5D6E-409C-BE32-E72D297353CC}">
              <c16:uniqueId val="{00000000-92B3-4EF4-9036-E9D0482D3BDC}"/>
            </c:ext>
          </c:extLst>
        </c:ser>
        <c:dLbls>
          <c:showLegendKey val="0"/>
          <c:showVal val="0"/>
          <c:showCatName val="0"/>
          <c:showSerName val="0"/>
          <c:showPercent val="0"/>
          <c:showBubbleSize val="0"/>
        </c:dLbls>
        <c:gapWidth val="219"/>
        <c:overlap val="-27"/>
        <c:axId val="1349076608"/>
        <c:axId val="1349065088"/>
      </c:barChart>
      <c:catAx>
        <c:axId val="134907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065088"/>
        <c:crosses val="autoZero"/>
        <c:auto val="1"/>
        <c:lblAlgn val="ctr"/>
        <c:lblOffset val="100"/>
        <c:noMultiLvlLbl val="0"/>
      </c:catAx>
      <c:valAx>
        <c:axId val="1349065088"/>
        <c:scaling>
          <c:orientation val="minMax"/>
        </c:scaling>
        <c:delete val="0"/>
        <c:axPos val="l"/>
        <c:numFmt formatCode="0.0,,&quot;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07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[Excel-MobileSales-Dashboard.xlsx]Pivots!PivotTable1</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2000">
                <a:latin typeface="Book Antiqua" panose="02040602050305030304" pitchFamily="18" charset="0"/>
              </a:rPr>
              <a:t>Monthly</a:t>
            </a:r>
            <a:r>
              <a:rPr lang="en-IN" sz="2000" baseline="0">
                <a:latin typeface="Book Antiqua" panose="02040602050305030304" pitchFamily="18" charset="0"/>
              </a:rPr>
              <a:t> Sales Trend</a:t>
            </a:r>
          </a:p>
        </c:rich>
      </c:tx>
      <c:layout>
        <c:manualLayout>
          <c:xMode val="edge"/>
          <c:yMode val="edge"/>
          <c:x val="0.34638824085905356"/>
          <c:y val="4.325699637211746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38994694848737"/>
          <c:y val="0.19525126737464518"/>
          <c:w val="0.78921993799777723"/>
          <c:h val="0.70634843255123037"/>
        </c:manualLayout>
      </c:layout>
      <c:lineChart>
        <c:grouping val="standard"/>
        <c:varyColors val="0"/>
        <c:ser>
          <c:idx val="0"/>
          <c:order val="0"/>
          <c:tx>
            <c:strRef>
              <c:f>Pivots!$H$1</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Pivots!$G$2:$G$7</c:f>
              <c:strCache>
                <c:ptCount val="5"/>
                <c:pt idx="0">
                  <c:v>Jan</c:v>
                </c:pt>
                <c:pt idx="1">
                  <c:v>Feb</c:v>
                </c:pt>
                <c:pt idx="2">
                  <c:v>Mar</c:v>
                </c:pt>
                <c:pt idx="3">
                  <c:v>Apr</c:v>
                </c:pt>
                <c:pt idx="4">
                  <c:v>May</c:v>
                </c:pt>
              </c:strCache>
            </c:strRef>
          </c:cat>
          <c:val>
            <c:numRef>
              <c:f>Pivots!$H$2:$H$7</c:f>
              <c:numCache>
                <c:formatCode>"₹"\ #,##0.00</c:formatCode>
                <c:ptCount val="5"/>
                <c:pt idx="0">
                  <c:v>7079000</c:v>
                </c:pt>
                <c:pt idx="1">
                  <c:v>7221000</c:v>
                </c:pt>
                <c:pt idx="2">
                  <c:v>7970000</c:v>
                </c:pt>
                <c:pt idx="3">
                  <c:v>6250000</c:v>
                </c:pt>
                <c:pt idx="4">
                  <c:v>7055000</c:v>
                </c:pt>
              </c:numCache>
            </c:numRef>
          </c:val>
          <c:smooth val="0"/>
          <c:extLst>
            <c:ext xmlns:c16="http://schemas.microsoft.com/office/drawing/2014/chart" uri="{C3380CC4-5D6E-409C-BE32-E72D297353CC}">
              <c16:uniqueId val="{00000000-3ED2-49FF-92D0-2171E04FE701}"/>
            </c:ext>
          </c:extLst>
        </c:ser>
        <c:dLbls>
          <c:showLegendKey val="0"/>
          <c:showVal val="0"/>
          <c:showCatName val="0"/>
          <c:showSerName val="0"/>
          <c:showPercent val="0"/>
          <c:showBubbleSize val="0"/>
        </c:dLbls>
        <c:marker val="1"/>
        <c:smooth val="0"/>
        <c:axId val="1349104448"/>
        <c:axId val="1349104928"/>
      </c:lineChart>
      <c:catAx>
        <c:axId val="13491044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104928"/>
        <c:crosses val="autoZero"/>
        <c:auto val="1"/>
        <c:lblAlgn val="ctr"/>
        <c:lblOffset val="100"/>
        <c:noMultiLvlLbl val="0"/>
      </c:catAx>
      <c:valAx>
        <c:axId val="13491049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10444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7.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8.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2</xdr:col>
      <xdr:colOff>525780</xdr:colOff>
      <xdr:row>7</xdr:row>
      <xdr:rowOff>80010</xdr:rowOff>
    </xdr:from>
    <xdr:to>
      <xdr:col>7</xdr:col>
      <xdr:colOff>205740</xdr:colOff>
      <xdr:row>19</xdr:row>
      <xdr:rowOff>22860</xdr:rowOff>
    </xdr:to>
    <xdr:graphicFrame macro="">
      <xdr:nvGraphicFramePr>
        <xdr:cNvPr id="2" name="Chart 1">
          <a:extLst>
            <a:ext uri="{FF2B5EF4-FFF2-40B4-BE49-F238E27FC236}">
              <a16:creationId xmlns:a16="http://schemas.microsoft.com/office/drawing/2014/main" id="{826DDDA0-EA2A-7AB3-DF28-09B8C504C1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762000</xdr:colOff>
      <xdr:row>19</xdr:row>
      <xdr:rowOff>11430</xdr:rowOff>
    </xdr:from>
    <xdr:to>
      <xdr:col>6</xdr:col>
      <xdr:colOff>518160</xdr:colOff>
      <xdr:row>34</xdr:row>
      <xdr:rowOff>11430</xdr:rowOff>
    </xdr:to>
    <xdr:graphicFrame macro="">
      <xdr:nvGraphicFramePr>
        <xdr:cNvPr id="5" name="Chart 4">
          <a:extLst>
            <a:ext uri="{FF2B5EF4-FFF2-40B4-BE49-F238E27FC236}">
              <a16:creationId xmlns:a16="http://schemas.microsoft.com/office/drawing/2014/main" id="{2B912517-EE0D-B3E9-23DA-F67F4D7884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480060</xdr:colOff>
      <xdr:row>1</xdr:row>
      <xdr:rowOff>160021</xdr:rowOff>
    </xdr:from>
    <xdr:to>
      <xdr:col>17</xdr:col>
      <xdr:colOff>480060</xdr:colOff>
      <xdr:row>8</xdr:row>
      <xdr:rowOff>91441</xdr:rowOff>
    </xdr:to>
    <mc:AlternateContent xmlns:mc="http://schemas.openxmlformats.org/markup-compatibility/2006">
      <mc:Choice xmlns:a14="http://schemas.microsoft.com/office/drawing/2010/main" Requires="a14">
        <xdr:graphicFrame macro="">
          <xdr:nvGraphicFramePr>
            <xdr:cNvPr id="6" name="Brand">
              <a:extLst>
                <a:ext uri="{FF2B5EF4-FFF2-40B4-BE49-F238E27FC236}">
                  <a16:creationId xmlns:a16="http://schemas.microsoft.com/office/drawing/2014/main" id="{A8EB624F-0111-9FD5-2B6E-1784DF2136C5}"/>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11155680" y="342901"/>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472440</xdr:colOff>
      <xdr:row>10</xdr:row>
      <xdr:rowOff>22860</xdr:rowOff>
    </xdr:from>
    <xdr:to>
      <xdr:col>17</xdr:col>
      <xdr:colOff>472440</xdr:colOff>
      <xdr:row>23</xdr:row>
      <xdr:rowOff>112395</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BD9EC61C-BE92-18CB-67BB-B7A57BD3E53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148060" y="1851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518160</xdr:colOff>
      <xdr:row>2</xdr:row>
      <xdr:rowOff>7620</xdr:rowOff>
    </xdr:from>
    <xdr:to>
      <xdr:col>14</xdr:col>
      <xdr:colOff>320040</xdr:colOff>
      <xdr:row>17</xdr:row>
      <xdr:rowOff>7620</xdr:rowOff>
    </xdr:to>
    <xdr:graphicFrame macro="">
      <xdr:nvGraphicFramePr>
        <xdr:cNvPr id="11" name="Chart 10">
          <a:extLst>
            <a:ext uri="{FF2B5EF4-FFF2-40B4-BE49-F238E27FC236}">
              <a16:creationId xmlns:a16="http://schemas.microsoft.com/office/drawing/2014/main" id="{4886A3F9-AEFB-CF13-4D09-23B6000D4F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182880</xdr:colOff>
      <xdr:row>18</xdr:row>
      <xdr:rowOff>114300</xdr:rowOff>
    </xdr:from>
    <xdr:to>
      <xdr:col>13</xdr:col>
      <xdr:colOff>342900</xdr:colOff>
      <xdr:row>33</xdr:row>
      <xdr:rowOff>99060</xdr:rowOff>
    </xdr:to>
    <xdr:graphicFrame macro="">
      <xdr:nvGraphicFramePr>
        <xdr:cNvPr id="12" name="Chart 11">
          <a:extLst>
            <a:ext uri="{FF2B5EF4-FFF2-40B4-BE49-F238E27FC236}">
              <a16:creationId xmlns:a16="http://schemas.microsoft.com/office/drawing/2014/main" id="{14B8B819-FAB2-7503-C085-9822B8544A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23</xdr:col>
      <xdr:colOff>443346</xdr:colOff>
      <xdr:row>7</xdr:row>
      <xdr:rowOff>124691</xdr:rowOff>
    </xdr:from>
    <xdr:to>
      <xdr:col>36</xdr:col>
      <xdr:colOff>374074</xdr:colOff>
      <xdr:row>40</xdr:row>
      <xdr:rowOff>152400</xdr:rowOff>
    </xdr:to>
    <xdr:sp macro="" textlink="">
      <xdr:nvSpPr>
        <xdr:cNvPr id="153" name="Rectangle: Beveled 152">
          <a:extLst>
            <a:ext uri="{FF2B5EF4-FFF2-40B4-BE49-F238E27FC236}">
              <a16:creationId xmlns:a16="http://schemas.microsoft.com/office/drawing/2014/main" id="{08CB2C3B-598E-8C12-71D6-A20FE657637C}"/>
            </a:ext>
          </a:extLst>
        </xdr:cNvPr>
        <xdr:cNvSpPr/>
      </xdr:nvSpPr>
      <xdr:spPr>
        <a:xfrm>
          <a:off x="14464146" y="1385455"/>
          <a:ext cx="7855528" cy="5971309"/>
        </a:xfrm>
        <a:prstGeom prst="bevel">
          <a:avLst/>
        </a:prstGeom>
        <a:solidFill>
          <a:schemeClr val="accent1">
            <a:alpha val="98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179295</xdr:colOff>
      <xdr:row>29</xdr:row>
      <xdr:rowOff>44825</xdr:rowOff>
    </xdr:from>
    <xdr:to>
      <xdr:col>3</xdr:col>
      <xdr:colOff>53788</xdr:colOff>
      <xdr:row>40</xdr:row>
      <xdr:rowOff>71718</xdr:rowOff>
    </xdr:to>
    <xdr:sp macro="" textlink="">
      <xdr:nvSpPr>
        <xdr:cNvPr id="132" name="Rectangle: Rounded Corners 131">
          <a:extLst>
            <a:ext uri="{FF2B5EF4-FFF2-40B4-BE49-F238E27FC236}">
              <a16:creationId xmlns:a16="http://schemas.microsoft.com/office/drawing/2014/main" id="{1E3F6D55-61A4-B679-B88F-99049178C6B9}"/>
            </a:ext>
          </a:extLst>
        </xdr:cNvPr>
        <xdr:cNvSpPr/>
      </xdr:nvSpPr>
      <xdr:spPr>
        <a:xfrm>
          <a:off x="179295" y="5244354"/>
          <a:ext cx="1703293" cy="1999129"/>
        </a:xfrm>
        <a:prstGeom prst="roundRect">
          <a:avLst>
            <a:gd name="adj" fmla="val 0"/>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71719</xdr:colOff>
      <xdr:row>24</xdr:row>
      <xdr:rowOff>71718</xdr:rowOff>
    </xdr:from>
    <xdr:to>
      <xdr:col>23</xdr:col>
      <xdr:colOff>286871</xdr:colOff>
      <xdr:row>37</xdr:row>
      <xdr:rowOff>107577</xdr:rowOff>
    </xdr:to>
    <xdr:sp macro="" textlink="">
      <xdr:nvSpPr>
        <xdr:cNvPr id="130" name="Rectangle: Rounded Corners 129">
          <a:extLst>
            <a:ext uri="{FF2B5EF4-FFF2-40B4-BE49-F238E27FC236}">
              <a16:creationId xmlns:a16="http://schemas.microsoft.com/office/drawing/2014/main" id="{9B39A9A4-0E81-B20C-D48C-0F214218379F}"/>
            </a:ext>
          </a:extLst>
        </xdr:cNvPr>
        <xdr:cNvSpPr/>
      </xdr:nvSpPr>
      <xdr:spPr>
        <a:xfrm>
          <a:off x="12263719" y="4374777"/>
          <a:ext cx="2043952" cy="2366682"/>
        </a:xfrm>
        <a:prstGeom prst="roundRect">
          <a:avLst>
            <a:gd name="adj" fmla="val 3948"/>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116542</xdr:colOff>
      <xdr:row>14</xdr:row>
      <xdr:rowOff>98612</xdr:rowOff>
    </xdr:from>
    <xdr:to>
      <xdr:col>3</xdr:col>
      <xdr:colOff>35860</xdr:colOff>
      <xdr:row>28</xdr:row>
      <xdr:rowOff>116541</xdr:rowOff>
    </xdr:to>
    <xdr:sp macro="" textlink="">
      <xdr:nvSpPr>
        <xdr:cNvPr id="127" name="Rectangle: Rounded Corners 126">
          <a:extLst>
            <a:ext uri="{FF2B5EF4-FFF2-40B4-BE49-F238E27FC236}">
              <a16:creationId xmlns:a16="http://schemas.microsoft.com/office/drawing/2014/main" id="{80A0D19C-E633-8FF3-F17B-DB9B45AC0E72}"/>
            </a:ext>
          </a:extLst>
        </xdr:cNvPr>
        <xdr:cNvSpPr/>
      </xdr:nvSpPr>
      <xdr:spPr>
        <a:xfrm>
          <a:off x="116542" y="2608730"/>
          <a:ext cx="1748118" cy="2528046"/>
        </a:xfrm>
        <a:prstGeom prst="roundRect">
          <a:avLst>
            <a:gd name="adj" fmla="val 0"/>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179291</xdr:colOff>
      <xdr:row>28</xdr:row>
      <xdr:rowOff>161363</xdr:rowOff>
    </xdr:from>
    <xdr:to>
      <xdr:col>19</xdr:col>
      <xdr:colOff>403410</xdr:colOff>
      <xdr:row>42</xdr:row>
      <xdr:rowOff>125504</xdr:rowOff>
    </xdr:to>
    <xdr:sp macro="" textlink="">
      <xdr:nvSpPr>
        <xdr:cNvPr id="126" name="Rectangle 125">
          <a:extLst>
            <a:ext uri="{FF2B5EF4-FFF2-40B4-BE49-F238E27FC236}">
              <a16:creationId xmlns:a16="http://schemas.microsoft.com/office/drawing/2014/main" id="{4FE53232-151F-4163-BAD7-42AA91AE5513}"/>
            </a:ext>
          </a:extLst>
        </xdr:cNvPr>
        <xdr:cNvSpPr/>
      </xdr:nvSpPr>
      <xdr:spPr>
        <a:xfrm>
          <a:off x="6884891" y="5181598"/>
          <a:ext cx="5100919" cy="247425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143434</xdr:colOff>
      <xdr:row>28</xdr:row>
      <xdr:rowOff>152402</xdr:rowOff>
    </xdr:from>
    <xdr:to>
      <xdr:col>11</xdr:col>
      <xdr:colOff>233082</xdr:colOff>
      <xdr:row>42</xdr:row>
      <xdr:rowOff>8965</xdr:rowOff>
    </xdr:to>
    <xdr:sp macro="" textlink="">
      <xdr:nvSpPr>
        <xdr:cNvPr id="123" name="Rectangle 122">
          <a:extLst>
            <a:ext uri="{FF2B5EF4-FFF2-40B4-BE49-F238E27FC236}">
              <a16:creationId xmlns:a16="http://schemas.microsoft.com/office/drawing/2014/main" id="{B626B7C1-C019-07EE-3816-7BD6404C08D3}"/>
            </a:ext>
          </a:extLst>
        </xdr:cNvPr>
        <xdr:cNvSpPr/>
      </xdr:nvSpPr>
      <xdr:spPr>
        <a:xfrm>
          <a:off x="1972234" y="5172637"/>
          <a:ext cx="4966448" cy="236668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242047</xdr:colOff>
      <xdr:row>14</xdr:row>
      <xdr:rowOff>71717</xdr:rowOff>
    </xdr:from>
    <xdr:to>
      <xdr:col>11</xdr:col>
      <xdr:colOff>89648</xdr:colOff>
      <xdr:row>28</xdr:row>
      <xdr:rowOff>62753</xdr:rowOff>
    </xdr:to>
    <xdr:sp macro="" textlink="">
      <xdr:nvSpPr>
        <xdr:cNvPr id="122" name="Rectangle 121">
          <a:extLst>
            <a:ext uri="{FF2B5EF4-FFF2-40B4-BE49-F238E27FC236}">
              <a16:creationId xmlns:a16="http://schemas.microsoft.com/office/drawing/2014/main" id="{BE06FB76-4616-76FC-43AE-F56E8AF863D6}"/>
            </a:ext>
          </a:extLst>
        </xdr:cNvPr>
        <xdr:cNvSpPr/>
      </xdr:nvSpPr>
      <xdr:spPr>
        <a:xfrm>
          <a:off x="2070847" y="2581835"/>
          <a:ext cx="4724401" cy="2501153"/>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107575</xdr:colOff>
      <xdr:row>1</xdr:row>
      <xdr:rowOff>53789</xdr:rowOff>
    </xdr:from>
    <xdr:to>
      <xdr:col>23</xdr:col>
      <xdr:colOff>268941</xdr:colOff>
      <xdr:row>7</xdr:row>
      <xdr:rowOff>35860</xdr:rowOff>
    </xdr:to>
    <xdr:grpSp>
      <xdr:nvGrpSpPr>
        <xdr:cNvPr id="88" name="Group 87">
          <a:extLst>
            <a:ext uri="{FF2B5EF4-FFF2-40B4-BE49-F238E27FC236}">
              <a16:creationId xmlns:a16="http://schemas.microsoft.com/office/drawing/2014/main" id="{C8069FAE-0865-6696-7666-FC6826B4A809}"/>
            </a:ext>
          </a:extLst>
        </xdr:cNvPr>
        <xdr:cNvGrpSpPr/>
      </xdr:nvGrpSpPr>
      <xdr:grpSpPr>
        <a:xfrm>
          <a:off x="107575" y="233898"/>
          <a:ext cx="14182166" cy="1062726"/>
          <a:chOff x="0" y="114076"/>
          <a:chExt cx="13610092" cy="1213981"/>
        </a:xfrm>
      </xdr:grpSpPr>
      <xdr:sp macro="" textlink="">
        <xdr:nvSpPr>
          <xdr:cNvPr id="19" name="Rectangle: Rounded Corners 18">
            <a:extLst>
              <a:ext uri="{FF2B5EF4-FFF2-40B4-BE49-F238E27FC236}">
                <a16:creationId xmlns:a16="http://schemas.microsoft.com/office/drawing/2014/main" id="{C16D17C9-1692-A533-517F-38B976D7C526}"/>
              </a:ext>
            </a:extLst>
          </xdr:cNvPr>
          <xdr:cNvSpPr/>
        </xdr:nvSpPr>
        <xdr:spPr>
          <a:xfrm>
            <a:off x="0" y="114076"/>
            <a:ext cx="13610092" cy="1213981"/>
          </a:xfrm>
          <a:prstGeom prst="roundRect">
            <a:avLst>
              <a:gd name="adj" fmla="val 3175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MOBILE</a:t>
            </a:r>
            <a:r>
              <a:rPr lang="en-IN" sz="1100" baseline="0"/>
              <a:t> SALE</a:t>
            </a:r>
            <a:endParaRPr lang="en-IN" sz="1100"/>
          </a:p>
        </xdr:txBody>
      </xdr:sp>
      <xdr:sp macro="" textlink="">
        <xdr:nvSpPr>
          <xdr:cNvPr id="87" name="TextBox 86">
            <a:extLst>
              <a:ext uri="{FF2B5EF4-FFF2-40B4-BE49-F238E27FC236}">
                <a16:creationId xmlns:a16="http://schemas.microsoft.com/office/drawing/2014/main" id="{908854C9-4D73-601F-1E4F-EF050C13EA1A}"/>
              </a:ext>
            </a:extLst>
          </xdr:cNvPr>
          <xdr:cNvSpPr txBox="1"/>
        </xdr:nvSpPr>
        <xdr:spPr>
          <a:xfrm flipH="1">
            <a:off x="2428610" y="292899"/>
            <a:ext cx="9910259" cy="931272"/>
          </a:xfrm>
          <a:prstGeom prst="rect">
            <a:avLst/>
          </a:prstGeom>
          <a:solidFill>
            <a:sysClr val="window" lastClr="FFFFFF"/>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3600" b="1">
                <a:solidFill>
                  <a:schemeClr val="accent1"/>
                </a:solidFill>
                <a:latin typeface="Bookman Old Style" panose="02050604050505020204" pitchFamily="18" charset="0"/>
              </a:rPr>
              <a:t>MOBILE PHONE</a:t>
            </a:r>
            <a:r>
              <a:rPr lang="en-IN" sz="3600" b="1" baseline="0">
                <a:solidFill>
                  <a:schemeClr val="accent1"/>
                </a:solidFill>
                <a:latin typeface="Bookman Old Style" panose="02050604050505020204" pitchFamily="18" charset="0"/>
              </a:rPr>
              <a:t> SALES DASHBOARD</a:t>
            </a:r>
          </a:p>
          <a:p>
            <a:endParaRPr lang="en-IN" sz="1100"/>
          </a:p>
        </xdr:txBody>
      </xdr:sp>
    </xdr:grpSp>
    <xdr:clientData/>
  </xdr:twoCellAnchor>
  <xdr:twoCellAnchor>
    <xdr:from>
      <xdr:col>17</xdr:col>
      <xdr:colOff>125507</xdr:colOff>
      <xdr:row>7</xdr:row>
      <xdr:rowOff>161364</xdr:rowOff>
    </xdr:from>
    <xdr:to>
      <xdr:col>22</xdr:col>
      <xdr:colOff>288152</xdr:colOff>
      <xdr:row>13</xdr:row>
      <xdr:rowOff>101813</xdr:rowOff>
    </xdr:to>
    <xdr:grpSp>
      <xdr:nvGrpSpPr>
        <xdr:cNvPr id="110" name="Group 109">
          <a:extLst>
            <a:ext uri="{FF2B5EF4-FFF2-40B4-BE49-F238E27FC236}">
              <a16:creationId xmlns:a16="http://schemas.microsoft.com/office/drawing/2014/main" id="{440407AD-9681-01D2-BF5D-25F86E5D8D72}"/>
            </a:ext>
          </a:extLst>
        </xdr:cNvPr>
        <xdr:cNvGrpSpPr/>
      </xdr:nvGrpSpPr>
      <xdr:grpSpPr>
        <a:xfrm>
          <a:off x="10488707" y="1422128"/>
          <a:ext cx="3210645" cy="1021103"/>
          <a:chOff x="10465247" y="1458579"/>
          <a:chExt cx="3207210" cy="1066908"/>
        </a:xfrm>
      </xdr:grpSpPr>
      <xdr:grpSp>
        <xdr:nvGrpSpPr>
          <xdr:cNvPr id="83" name="Group 82">
            <a:extLst>
              <a:ext uri="{FF2B5EF4-FFF2-40B4-BE49-F238E27FC236}">
                <a16:creationId xmlns:a16="http://schemas.microsoft.com/office/drawing/2014/main" id="{5BD030DC-ABBB-CD2A-9C7E-82D0BC3D79C1}"/>
              </a:ext>
            </a:extLst>
          </xdr:cNvPr>
          <xdr:cNvGrpSpPr/>
        </xdr:nvGrpSpPr>
        <xdr:grpSpPr>
          <a:xfrm>
            <a:off x="10465247" y="1458579"/>
            <a:ext cx="3207210" cy="1066908"/>
            <a:chOff x="2562218" y="1578321"/>
            <a:chExt cx="3207210" cy="1066908"/>
          </a:xfrm>
        </xdr:grpSpPr>
        <xdr:sp macro="" textlink="">
          <xdr:nvSpPr>
            <xdr:cNvPr id="84" name="Rectangle: Rounded Corners 83">
              <a:extLst>
                <a:ext uri="{FF2B5EF4-FFF2-40B4-BE49-F238E27FC236}">
                  <a16:creationId xmlns:a16="http://schemas.microsoft.com/office/drawing/2014/main" id="{DFAE62E2-D8D8-76F2-16AA-83AB0418878D}"/>
                </a:ext>
              </a:extLst>
            </xdr:cNvPr>
            <xdr:cNvSpPr/>
          </xdr:nvSpPr>
          <xdr:spPr>
            <a:xfrm>
              <a:off x="2562218" y="1578321"/>
              <a:ext cx="3207210" cy="1066908"/>
            </a:xfrm>
            <a:prstGeom prst="roundRect">
              <a:avLst>
                <a:gd name="adj" fmla="val 3175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5" name="Rectangle: Rounded Corners 84">
              <a:extLst>
                <a:ext uri="{FF2B5EF4-FFF2-40B4-BE49-F238E27FC236}">
                  <a16:creationId xmlns:a16="http://schemas.microsoft.com/office/drawing/2014/main" id="{2A8B4721-A759-FC8C-D243-94F701E8195C}"/>
                </a:ext>
              </a:extLst>
            </xdr:cNvPr>
            <xdr:cNvSpPr/>
          </xdr:nvSpPr>
          <xdr:spPr>
            <a:xfrm>
              <a:off x="2624904" y="1625381"/>
              <a:ext cx="1206867" cy="910991"/>
            </a:xfrm>
            <a:prstGeom prst="roundRect">
              <a:avLst>
                <a:gd name="adj" fmla="val 31757"/>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solidFill>
              </a:endParaRPr>
            </a:p>
          </xdr:txBody>
        </xdr:sp>
      </xdr:grpSp>
      <xdr:sp macro="" textlink="">
        <xdr:nvSpPr>
          <xdr:cNvPr id="93" name="TextBox 92">
            <a:extLst>
              <a:ext uri="{FF2B5EF4-FFF2-40B4-BE49-F238E27FC236}">
                <a16:creationId xmlns:a16="http://schemas.microsoft.com/office/drawing/2014/main" id="{2D711FA7-974D-69F6-099F-06379F62E8F7}"/>
              </a:ext>
            </a:extLst>
          </xdr:cNvPr>
          <xdr:cNvSpPr txBox="1"/>
        </xdr:nvSpPr>
        <xdr:spPr>
          <a:xfrm>
            <a:off x="11876315" y="1545771"/>
            <a:ext cx="1621971" cy="337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2000" b="1" i="1">
                <a:latin typeface="Book Antiqua" panose="02040602050305030304" pitchFamily="18" charset="0"/>
              </a:rPr>
              <a:t>Units Sold</a:t>
            </a:r>
          </a:p>
        </xdr:txBody>
      </xdr:sp>
      <xdr:sp macro="" textlink="Raw_Data!L4">
        <xdr:nvSpPr>
          <xdr:cNvPr id="94" name="TextBox 93">
            <a:extLst>
              <a:ext uri="{FF2B5EF4-FFF2-40B4-BE49-F238E27FC236}">
                <a16:creationId xmlns:a16="http://schemas.microsoft.com/office/drawing/2014/main" id="{77433508-2A3A-6BC9-58E2-CD896C205D9F}"/>
              </a:ext>
            </a:extLst>
          </xdr:cNvPr>
          <xdr:cNvSpPr txBox="1"/>
        </xdr:nvSpPr>
        <xdr:spPr>
          <a:xfrm>
            <a:off x="12238358" y="1947999"/>
            <a:ext cx="1304703" cy="3162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181A33-4612-481C-B72D-4C1025473807}" type="TxLink">
              <a:rPr lang="en-US" sz="2000" b="1" i="0" u="none" strike="noStrike">
                <a:solidFill>
                  <a:srgbClr val="000000"/>
                </a:solidFill>
                <a:latin typeface="Book Antiqua" panose="02040602050305030304" pitchFamily="18" charset="0"/>
                <a:ea typeface="Calibri"/>
                <a:cs typeface="Calibri"/>
              </a:rPr>
              <a:t>762</a:t>
            </a:fld>
            <a:endParaRPr lang="en-IN" sz="2000" b="1">
              <a:latin typeface="Book Antiqua" panose="02040602050305030304" pitchFamily="18" charset="0"/>
            </a:endParaRPr>
          </a:p>
        </xdr:txBody>
      </xdr:sp>
    </xdr:grpSp>
    <xdr:clientData/>
  </xdr:twoCellAnchor>
  <xdr:twoCellAnchor>
    <xdr:from>
      <xdr:col>11</xdr:col>
      <xdr:colOff>388936</xdr:colOff>
      <xdr:row>7</xdr:row>
      <xdr:rowOff>81419</xdr:rowOff>
    </xdr:from>
    <xdr:to>
      <xdr:col>16</xdr:col>
      <xdr:colOff>566057</xdr:colOff>
      <xdr:row>13</xdr:row>
      <xdr:rowOff>141515</xdr:rowOff>
    </xdr:to>
    <xdr:grpSp>
      <xdr:nvGrpSpPr>
        <xdr:cNvPr id="109" name="Group 108">
          <a:extLst>
            <a:ext uri="{FF2B5EF4-FFF2-40B4-BE49-F238E27FC236}">
              <a16:creationId xmlns:a16="http://schemas.microsoft.com/office/drawing/2014/main" id="{5C3C753E-D49D-F84E-82F1-02578343A2E5}"/>
            </a:ext>
          </a:extLst>
        </xdr:cNvPr>
        <xdr:cNvGrpSpPr/>
      </xdr:nvGrpSpPr>
      <xdr:grpSpPr>
        <a:xfrm>
          <a:off x="7094536" y="1342183"/>
          <a:ext cx="3225121" cy="1140750"/>
          <a:chOff x="7094536" y="1376819"/>
          <a:chExt cx="3225121" cy="1170439"/>
        </a:xfrm>
      </xdr:grpSpPr>
      <xdr:grpSp>
        <xdr:nvGrpSpPr>
          <xdr:cNvPr id="80" name="Group 79">
            <a:extLst>
              <a:ext uri="{FF2B5EF4-FFF2-40B4-BE49-F238E27FC236}">
                <a16:creationId xmlns:a16="http://schemas.microsoft.com/office/drawing/2014/main" id="{80EEC29A-6DC3-D0F6-231E-908F3B3A047F}"/>
              </a:ext>
            </a:extLst>
          </xdr:cNvPr>
          <xdr:cNvGrpSpPr/>
        </xdr:nvGrpSpPr>
        <xdr:grpSpPr>
          <a:xfrm>
            <a:off x="7094536" y="1376819"/>
            <a:ext cx="3225121" cy="1170439"/>
            <a:chOff x="2544307" y="1474790"/>
            <a:chExt cx="3225121" cy="1170439"/>
          </a:xfrm>
        </xdr:grpSpPr>
        <xdr:sp macro="" textlink="">
          <xdr:nvSpPr>
            <xdr:cNvPr id="81" name="Rectangle: Rounded Corners 80">
              <a:extLst>
                <a:ext uri="{FF2B5EF4-FFF2-40B4-BE49-F238E27FC236}">
                  <a16:creationId xmlns:a16="http://schemas.microsoft.com/office/drawing/2014/main" id="{1F72F10E-948A-E8F9-5846-5C3067F84BA6}"/>
                </a:ext>
              </a:extLst>
            </xdr:cNvPr>
            <xdr:cNvSpPr/>
          </xdr:nvSpPr>
          <xdr:spPr>
            <a:xfrm>
              <a:off x="2544307" y="1474790"/>
              <a:ext cx="3225121" cy="1170439"/>
            </a:xfrm>
            <a:prstGeom prst="roundRect">
              <a:avLst>
                <a:gd name="adj" fmla="val 3175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2" name="Rectangle: Rounded Corners 81">
              <a:extLst>
                <a:ext uri="{FF2B5EF4-FFF2-40B4-BE49-F238E27FC236}">
                  <a16:creationId xmlns:a16="http://schemas.microsoft.com/office/drawing/2014/main" id="{55DBFC44-09E5-F194-89B6-8E09F25E3374}"/>
                </a:ext>
              </a:extLst>
            </xdr:cNvPr>
            <xdr:cNvSpPr/>
          </xdr:nvSpPr>
          <xdr:spPr>
            <a:xfrm>
              <a:off x="2696709" y="1648964"/>
              <a:ext cx="1135061" cy="887408"/>
            </a:xfrm>
            <a:prstGeom prst="roundRect">
              <a:avLst>
                <a:gd name="adj" fmla="val 31757"/>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92" name="TextBox 91">
            <a:extLst>
              <a:ext uri="{FF2B5EF4-FFF2-40B4-BE49-F238E27FC236}">
                <a16:creationId xmlns:a16="http://schemas.microsoft.com/office/drawing/2014/main" id="{BB51F5C3-80E2-CBD1-E9D5-0531FA4CF3E0}"/>
              </a:ext>
            </a:extLst>
          </xdr:cNvPr>
          <xdr:cNvSpPr txBox="1"/>
        </xdr:nvSpPr>
        <xdr:spPr>
          <a:xfrm>
            <a:off x="8409709" y="1606014"/>
            <a:ext cx="1888177" cy="3425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i="1">
                <a:latin typeface="Book Antiqua" panose="02040602050305030304" pitchFamily="18" charset="0"/>
              </a:rPr>
              <a:t>Total</a:t>
            </a:r>
            <a:r>
              <a:rPr lang="en-IN" sz="2000" b="1" i="1" baseline="0">
                <a:latin typeface="Book Antiqua" panose="02040602050305030304" pitchFamily="18" charset="0"/>
              </a:rPr>
              <a:t> Revenue</a:t>
            </a:r>
            <a:endParaRPr lang="en-IN" sz="2000" b="1" i="1">
              <a:latin typeface="Book Antiqua" panose="02040602050305030304" pitchFamily="18" charset="0"/>
            </a:endParaRPr>
          </a:p>
        </xdr:txBody>
      </xdr:sp>
      <xdr:sp macro="" textlink="Raw_Data!L8">
        <xdr:nvSpPr>
          <xdr:cNvPr id="95" name="TextBox 94">
            <a:extLst>
              <a:ext uri="{FF2B5EF4-FFF2-40B4-BE49-F238E27FC236}">
                <a16:creationId xmlns:a16="http://schemas.microsoft.com/office/drawing/2014/main" id="{0DC647EE-937B-D8E2-7157-E4B0B28AB760}"/>
              </a:ext>
            </a:extLst>
          </xdr:cNvPr>
          <xdr:cNvSpPr txBox="1"/>
        </xdr:nvSpPr>
        <xdr:spPr>
          <a:xfrm>
            <a:off x="8503023" y="1958430"/>
            <a:ext cx="1785258" cy="3374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1D5666-8DA3-4F4D-96F8-198AE84D6655}" type="TxLink">
              <a:rPr lang="en-US" sz="2000" b="1" i="0" u="none" strike="noStrike">
                <a:solidFill>
                  <a:srgbClr val="000000"/>
                </a:solidFill>
                <a:latin typeface="Book Antiqua" panose="02040602050305030304" pitchFamily="18" charset="0"/>
                <a:ea typeface="Calibri"/>
                <a:cs typeface="Calibri"/>
              </a:rPr>
              <a:t>₹ 2,86,47,000</a:t>
            </a:fld>
            <a:endParaRPr lang="en-IN" sz="2000" b="1">
              <a:latin typeface="Book Antiqua" panose="02040602050305030304" pitchFamily="18" charset="0"/>
            </a:endParaRPr>
          </a:p>
        </xdr:txBody>
      </xdr:sp>
    </xdr:grpSp>
    <xdr:clientData/>
  </xdr:twoCellAnchor>
  <xdr:twoCellAnchor>
    <xdr:from>
      <xdr:col>5</xdr:col>
      <xdr:colOff>584879</xdr:colOff>
      <xdr:row>7</xdr:row>
      <xdr:rowOff>124961</xdr:rowOff>
    </xdr:from>
    <xdr:to>
      <xdr:col>11</xdr:col>
      <xdr:colOff>174172</xdr:colOff>
      <xdr:row>14</xdr:row>
      <xdr:rowOff>0</xdr:rowOff>
    </xdr:to>
    <xdr:grpSp>
      <xdr:nvGrpSpPr>
        <xdr:cNvPr id="108" name="Group 107">
          <a:extLst>
            <a:ext uri="{FF2B5EF4-FFF2-40B4-BE49-F238E27FC236}">
              <a16:creationId xmlns:a16="http://schemas.microsoft.com/office/drawing/2014/main" id="{E95F2D35-487C-4D1C-82A6-AF562DD67E6D}"/>
            </a:ext>
          </a:extLst>
        </xdr:cNvPr>
        <xdr:cNvGrpSpPr/>
      </xdr:nvGrpSpPr>
      <xdr:grpSpPr>
        <a:xfrm>
          <a:off x="3632879" y="1385725"/>
          <a:ext cx="3246893" cy="1135802"/>
          <a:chOff x="3632879" y="1420361"/>
          <a:chExt cx="3246893" cy="1170439"/>
        </a:xfrm>
      </xdr:grpSpPr>
      <xdr:grpSp>
        <xdr:nvGrpSpPr>
          <xdr:cNvPr id="77" name="Group 76">
            <a:extLst>
              <a:ext uri="{FF2B5EF4-FFF2-40B4-BE49-F238E27FC236}">
                <a16:creationId xmlns:a16="http://schemas.microsoft.com/office/drawing/2014/main" id="{5AFA9755-CD0C-D927-B3F1-93632FF74A08}"/>
              </a:ext>
            </a:extLst>
          </xdr:cNvPr>
          <xdr:cNvGrpSpPr/>
        </xdr:nvGrpSpPr>
        <xdr:grpSpPr>
          <a:xfrm>
            <a:off x="3632879" y="1420361"/>
            <a:ext cx="3225121" cy="1170439"/>
            <a:chOff x="2544307" y="1474790"/>
            <a:chExt cx="3225121" cy="1170439"/>
          </a:xfrm>
        </xdr:grpSpPr>
        <xdr:sp macro="" textlink="">
          <xdr:nvSpPr>
            <xdr:cNvPr id="78" name="Rectangle: Rounded Corners 77">
              <a:extLst>
                <a:ext uri="{FF2B5EF4-FFF2-40B4-BE49-F238E27FC236}">
                  <a16:creationId xmlns:a16="http://schemas.microsoft.com/office/drawing/2014/main" id="{D88C02EC-CBA3-5889-9ABE-7D4562C78344}"/>
                </a:ext>
              </a:extLst>
            </xdr:cNvPr>
            <xdr:cNvSpPr/>
          </xdr:nvSpPr>
          <xdr:spPr>
            <a:xfrm>
              <a:off x="2544307" y="1474790"/>
              <a:ext cx="3225121" cy="1170439"/>
            </a:xfrm>
            <a:prstGeom prst="roundRect">
              <a:avLst>
                <a:gd name="adj" fmla="val 3175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9" name="Rectangle: Rounded Corners 78">
              <a:extLst>
                <a:ext uri="{FF2B5EF4-FFF2-40B4-BE49-F238E27FC236}">
                  <a16:creationId xmlns:a16="http://schemas.microsoft.com/office/drawing/2014/main" id="{C286A88E-F971-A7DE-0853-6031B0D8F2C4}"/>
                </a:ext>
              </a:extLst>
            </xdr:cNvPr>
            <xdr:cNvSpPr/>
          </xdr:nvSpPr>
          <xdr:spPr>
            <a:xfrm>
              <a:off x="2696709" y="1648964"/>
              <a:ext cx="1135061" cy="887408"/>
            </a:xfrm>
            <a:prstGeom prst="roundRect">
              <a:avLst>
                <a:gd name="adj" fmla="val 31757"/>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91" name="TextBox 90">
            <a:extLst>
              <a:ext uri="{FF2B5EF4-FFF2-40B4-BE49-F238E27FC236}">
                <a16:creationId xmlns:a16="http://schemas.microsoft.com/office/drawing/2014/main" id="{2E40B980-CE5D-B6E2-591A-3897B8C55B2E}"/>
              </a:ext>
            </a:extLst>
          </xdr:cNvPr>
          <xdr:cNvSpPr txBox="1"/>
        </xdr:nvSpPr>
        <xdr:spPr>
          <a:xfrm>
            <a:off x="4985658" y="1589313"/>
            <a:ext cx="1894114" cy="3483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2000" b="1" i="1">
                <a:latin typeface="Book Antiqua" panose="02040602050305030304" pitchFamily="18" charset="0"/>
              </a:rPr>
              <a:t>Average Sales</a:t>
            </a:r>
          </a:p>
        </xdr:txBody>
      </xdr:sp>
      <xdr:sp macro="" textlink="Raw_Data!L6">
        <xdr:nvSpPr>
          <xdr:cNvPr id="96" name="TextBox 95">
            <a:extLst>
              <a:ext uri="{FF2B5EF4-FFF2-40B4-BE49-F238E27FC236}">
                <a16:creationId xmlns:a16="http://schemas.microsoft.com/office/drawing/2014/main" id="{25F92CC7-461F-8F93-710E-7B79F3E48115}"/>
              </a:ext>
            </a:extLst>
          </xdr:cNvPr>
          <xdr:cNvSpPr txBox="1"/>
        </xdr:nvSpPr>
        <xdr:spPr>
          <a:xfrm>
            <a:off x="5001492" y="1950153"/>
            <a:ext cx="1669880" cy="4264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E1E3B9-B13D-4BF1-9A73-77717A69433E}" type="TxLink">
              <a:rPr lang="en-US" sz="2000" b="1" i="0" u="none" strike="noStrike">
                <a:solidFill>
                  <a:srgbClr val="000000"/>
                </a:solidFill>
                <a:latin typeface="Book Antiqua" panose="02040602050305030304" pitchFamily="18" charset="0"/>
                <a:ea typeface="Calibri"/>
                <a:cs typeface="Calibri"/>
              </a:rPr>
              <a:t> ₹ 2,37,166.67 </a:t>
            </a:fld>
            <a:endParaRPr lang="en-IN" sz="2000" b="1">
              <a:latin typeface="Book Antiqua" panose="02040602050305030304" pitchFamily="18" charset="0"/>
            </a:endParaRPr>
          </a:p>
        </xdr:txBody>
      </xdr:sp>
    </xdr:grpSp>
    <xdr:clientData/>
  </xdr:twoCellAnchor>
  <xdr:twoCellAnchor>
    <xdr:from>
      <xdr:col>0</xdr:col>
      <xdr:colOff>236536</xdr:colOff>
      <xdr:row>7</xdr:row>
      <xdr:rowOff>124961</xdr:rowOff>
    </xdr:from>
    <xdr:to>
      <xdr:col>5</xdr:col>
      <xdr:colOff>413657</xdr:colOff>
      <xdr:row>14</xdr:row>
      <xdr:rowOff>0</xdr:rowOff>
    </xdr:to>
    <xdr:grpSp>
      <xdr:nvGrpSpPr>
        <xdr:cNvPr id="98" name="Group 97">
          <a:extLst>
            <a:ext uri="{FF2B5EF4-FFF2-40B4-BE49-F238E27FC236}">
              <a16:creationId xmlns:a16="http://schemas.microsoft.com/office/drawing/2014/main" id="{729AF90B-54DC-DCF1-C8F2-9A560973205C}"/>
            </a:ext>
          </a:extLst>
        </xdr:cNvPr>
        <xdr:cNvGrpSpPr/>
      </xdr:nvGrpSpPr>
      <xdr:grpSpPr>
        <a:xfrm>
          <a:off x="236536" y="1385725"/>
          <a:ext cx="3225121" cy="1135802"/>
          <a:chOff x="171221" y="1398590"/>
          <a:chExt cx="3225121" cy="1170439"/>
        </a:xfrm>
      </xdr:grpSpPr>
      <xdr:grpSp>
        <xdr:nvGrpSpPr>
          <xdr:cNvPr id="70" name="Group 69">
            <a:extLst>
              <a:ext uri="{FF2B5EF4-FFF2-40B4-BE49-F238E27FC236}">
                <a16:creationId xmlns:a16="http://schemas.microsoft.com/office/drawing/2014/main" id="{203EBD8F-B94B-2C72-33D7-20C7BA000E04}"/>
              </a:ext>
            </a:extLst>
          </xdr:cNvPr>
          <xdr:cNvGrpSpPr/>
        </xdr:nvGrpSpPr>
        <xdr:grpSpPr>
          <a:xfrm>
            <a:off x="171221" y="1398590"/>
            <a:ext cx="3225121" cy="1170439"/>
            <a:chOff x="2544307" y="1474790"/>
            <a:chExt cx="3225121" cy="1170439"/>
          </a:xfrm>
        </xdr:grpSpPr>
        <xdr:sp macro="" textlink="">
          <xdr:nvSpPr>
            <xdr:cNvPr id="64" name="Rectangle: Rounded Corners 63">
              <a:extLst>
                <a:ext uri="{FF2B5EF4-FFF2-40B4-BE49-F238E27FC236}">
                  <a16:creationId xmlns:a16="http://schemas.microsoft.com/office/drawing/2014/main" id="{D00B4736-34E3-2B51-73CF-83B830A6E2CD}"/>
                </a:ext>
              </a:extLst>
            </xdr:cNvPr>
            <xdr:cNvSpPr/>
          </xdr:nvSpPr>
          <xdr:spPr>
            <a:xfrm>
              <a:off x="2544307" y="1474790"/>
              <a:ext cx="3225121" cy="1170439"/>
            </a:xfrm>
            <a:prstGeom prst="roundRect">
              <a:avLst>
                <a:gd name="adj" fmla="val 3175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sp macro="" textlink="">
          <xdr:nvSpPr>
            <xdr:cNvPr id="65" name="Rectangle: Rounded Corners 64">
              <a:extLst>
                <a:ext uri="{FF2B5EF4-FFF2-40B4-BE49-F238E27FC236}">
                  <a16:creationId xmlns:a16="http://schemas.microsoft.com/office/drawing/2014/main" id="{3F270909-7478-CD82-D9CB-25CF28199627}"/>
                </a:ext>
              </a:extLst>
            </xdr:cNvPr>
            <xdr:cNvSpPr/>
          </xdr:nvSpPr>
          <xdr:spPr>
            <a:xfrm>
              <a:off x="2696709" y="1648964"/>
              <a:ext cx="1135061" cy="887408"/>
            </a:xfrm>
            <a:prstGeom prst="roundRect">
              <a:avLst>
                <a:gd name="adj" fmla="val 31757"/>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accent1"/>
                </a:solidFill>
              </a:endParaRPr>
            </a:p>
          </xdr:txBody>
        </xdr:sp>
      </xdr:grpSp>
      <xdr:sp macro="" textlink="">
        <xdr:nvSpPr>
          <xdr:cNvPr id="89" name="TextBox 88">
            <a:extLst>
              <a:ext uri="{FF2B5EF4-FFF2-40B4-BE49-F238E27FC236}">
                <a16:creationId xmlns:a16="http://schemas.microsoft.com/office/drawing/2014/main" id="{76089B5D-D254-DC15-E1C4-27A68CE5B4AF}"/>
              </a:ext>
            </a:extLst>
          </xdr:cNvPr>
          <xdr:cNvSpPr txBox="1"/>
        </xdr:nvSpPr>
        <xdr:spPr>
          <a:xfrm>
            <a:off x="1676400" y="1567542"/>
            <a:ext cx="1480457"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i="1">
                <a:latin typeface="Book Antiqua" panose="02040602050305030304" pitchFamily="18" charset="0"/>
              </a:rPr>
              <a:t>Total sales</a:t>
            </a:r>
          </a:p>
        </xdr:txBody>
      </xdr:sp>
      <xdr:sp macro="" textlink="Raw_Data!L2">
        <xdr:nvSpPr>
          <xdr:cNvPr id="97" name="TextBox 96">
            <a:extLst>
              <a:ext uri="{FF2B5EF4-FFF2-40B4-BE49-F238E27FC236}">
                <a16:creationId xmlns:a16="http://schemas.microsoft.com/office/drawing/2014/main" id="{60A85444-16CD-937C-5134-A85D67B694BC}"/>
              </a:ext>
            </a:extLst>
          </xdr:cNvPr>
          <xdr:cNvSpPr txBox="1"/>
        </xdr:nvSpPr>
        <xdr:spPr>
          <a:xfrm>
            <a:off x="1602120" y="1956239"/>
            <a:ext cx="1703294" cy="4456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255614-8B22-474D-A749-1C3E1C5338BE}" type="TxLink">
              <a:rPr lang="en-US" sz="2000" b="1" i="0" u="none" strike="noStrike">
                <a:solidFill>
                  <a:srgbClr val="000000"/>
                </a:solidFill>
                <a:latin typeface="Calibri"/>
                <a:ea typeface="Calibri"/>
                <a:cs typeface="Calibri"/>
              </a:rPr>
              <a:t>₹ 3,55,75,000</a:t>
            </a:fld>
            <a:endParaRPr lang="en-US" sz="2000" b="1" i="0" u="none" strike="noStrike">
              <a:solidFill>
                <a:srgbClr val="000000"/>
              </a:solidFill>
              <a:latin typeface="Calibri"/>
              <a:ea typeface="Calibri"/>
              <a:cs typeface="Calibri"/>
            </a:endParaRPr>
          </a:p>
        </xdr:txBody>
      </xdr:sp>
    </xdr:grpSp>
    <xdr:clientData/>
  </xdr:twoCellAnchor>
  <xdr:twoCellAnchor editAs="oneCell">
    <xdr:from>
      <xdr:col>0</xdr:col>
      <xdr:colOff>242048</xdr:colOff>
      <xdr:row>29</xdr:row>
      <xdr:rowOff>116544</xdr:rowOff>
    </xdr:from>
    <xdr:to>
      <xdr:col>3</xdr:col>
      <xdr:colOff>17930</xdr:colOff>
      <xdr:row>39</xdr:row>
      <xdr:rowOff>170330</xdr:rowOff>
    </xdr:to>
    <mc:AlternateContent xmlns:mc="http://schemas.openxmlformats.org/markup-compatibility/2006">
      <mc:Choice xmlns:a14="http://schemas.microsoft.com/office/drawing/2010/main" Requires="a14">
        <xdr:graphicFrame macro="">
          <xdr:nvGraphicFramePr>
            <xdr:cNvPr id="112" name="Salesperson 1">
              <a:extLst>
                <a:ext uri="{FF2B5EF4-FFF2-40B4-BE49-F238E27FC236}">
                  <a16:creationId xmlns:a16="http://schemas.microsoft.com/office/drawing/2014/main" id="{62CF702C-1773-41A8-9CA5-02CFA58C1CD4}"/>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242048" y="5339708"/>
              <a:ext cx="1604682" cy="18548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201708</xdr:colOff>
      <xdr:row>15</xdr:row>
      <xdr:rowOff>16650</xdr:rowOff>
    </xdr:from>
    <xdr:to>
      <xdr:col>2</xdr:col>
      <xdr:colOff>582706</xdr:colOff>
      <xdr:row>28</xdr:row>
      <xdr:rowOff>1</xdr:rowOff>
    </xdr:to>
    <mc:AlternateContent xmlns:mc="http://schemas.openxmlformats.org/markup-compatibility/2006">
      <mc:Choice xmlns:a14="http://schemas.microsoft.com/office/drawing/2010/main" Requires="a14">
        <xdr:graphicFrame macro="">
          <xdr:nvGraphicFramePr>
            <xdr:cNvPr id="113" name="Model">
              <a:extLst>
                <a:ext uri="{FF2B5EF4-FFF2-40B4-BE49-F238E27FC236}">
                  <a16:creationId xmlns:a16="http://schemas.microsoft.com/office/drawing/2014/main" id="{AA389735-1B6E-4650-A54A-997AC24CE738}"/>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dr:sp macro="" textlink="">
          <xdr:nvSpPr>
            <xdr:cNvPr id="0" name=""/>
            <xdr:cNvSpPr>
              <a:spLocks noTextEdit="1"/>
            </xdr:cNvSpPr>
          </xdr:nvSpPr>
          <xdr:spPr>
            <a:xfrm>
              <a:off x="201708" y="2718286"/>
              <a:ext cx="1600198" cy="23247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193963</xdr:colOff>
      <xdr:row>14</xdr:row>
      <xdr:rowOff>135286</xdr:rowOff>
    </xdr:from>
    <xdr:to>
      <xdr:col>10</xdr:col>
      <xdr:colOff>572402</xdr:colOff>
      <xdr:row>28</xdr:row>
      <xdr:rowOff>146171</xdr:rowOff>
    </xdr:to>
    <xdr:graphicFrame macro="">
      <xdr:nvGraphicFramePr>
        <xdr:cNvPr id="117" name="Chart 116">
          <a:extLst>
            <a:ext uri="{FF2B5EF4-FFF2-40B4-BE49-F238E27FC236}">
              <a16:creationId xmlns:a16="http://schemas.microsoft.com/office/drawing/2014/main" id="{15FC69E1-6462-4FD9-B2CB-825CF99E45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410745</xdr:colOff>
      <xdr:row>29</xdr:row>
      <xdr:rowOff>70088</xdr:rowOff>
    </xdr:from>
    <xdr:to>
      <xdr:col>11</xdr:col>
      <xdr:colOff>222487</xdr:colOff>
      <xdr:row>42</xdr:row>
      <xdr:rowOff>142619</xdr:rowOff>
    </xdr:to>
    <xdr:graphicFrame macro="">
      <xdr:nvGraphicFramePr>
        <xdr:cNvPr id="118" name="Chart 117">
          <a:extLst>
            <a:ext uri="{FF2B5EF4-FFF2-40B4-BE49-F238E27FC236}">
              <a16:creationId xmlns:a16="http://schemas.microsoft.com/office/drawing/2014/main" id="{9BB54784-3A81-4157-A341-83B8A75B9F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349624</xdr:colOff>
      <xdr:row>14</xdr:row>
      <xdr:rowOff>80682</xdr:rowOff>
    </xdr:from>
    <xdr:to>
      <xdr:col>19</xdr:col>
      <xdr:colOff>475129</xdr:colOff>
      <xdr:row>28</xdr:row>
      <xdr:rowOff>143436</xdr:rowOff>
    </xdr:to>
    <xdr:grpSp>
      <xdr:nvGrpSpPr>
        <xdr:cNvPr id="124" name="Group 123">
          <a:extLst>
            <a:ext uri="{FF2B5EF4-FFF2-40B4-BE49-F238E27FC236}">
              <a16:creationId xmlns:a16="http://schemas.microsoft.com/office/drawing/2014/main" id="{1C0B78C8-6C0E-099A-000D-86CB56BC83FC}"/>
            </a:ext>
          </a:extLst>
        </xdr:cNvPr>
        <xdr:cNvGrpSpPr/>
      </xdr:nvGrpSpPr>
      <xdr:grpSpPr>
        <a:xfrm>
          <a:off x="6445624" y="2602209"/>
          <a:ext cx="5611905" cy="2584282"/>
          <a:chOff x="6875929" y="2608729"/>
          <a:chExt cx="5298142" cy="2680447"/>
        </a:xfrm>
      </xdr:grpSpPr>
      <xdr:sp macro="" textlink="">
        <xdr:nvSpPr>
          <xdr:cNvPr id="120" name="Rectangle 119">
            <a:extLst>
              <a:ext uri="{FF2B5EF4-FFF2-40B4-BE49-F238E27FC236}">
                <a16:creationId xmlns:a16="http://schemas.microsoft.com/office/drawing/2014/main" id="{0EDBFDCA-A019-21CD-3BA9-4D6F8E78465A}"/>
              </a:ext>
            </a:extLst>
          </xdr:cNvPr>
          <xdr:cNvSpPr/>
        </xdr:nvSpPr>
        <xdr:spPr>
          <a:xfrm>
            <a:off x="6875929" y="2608729"/>
            <a:ext cx="5298142" cy="2680447"/>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19" name="Chart 118">
            <a:extLst>
              <a:ext uri="{FF2B5EF4-FFF2-40B4-BE49-F238E27FC236}">
                <a16:creationId xmlns:a16="http://schemas.microsoft.com/office/drawing/2014/main" id="{B9849620-BD76-490E-8979-1079A4EEAFE2}"/>
              </a:ext>
            </a:extLst>
          </xdr:cNvPr>
          <xdr:cNvGraphicFramePr>
            <a:graphicFrameLocks/>
          </xdr:cNvGraphicFramePr>
        </xdr:nvGraphicFramePr>
        <xdr:xfrm>
          <a:off x="7351059" y="2689410"/>
          <a:ext cx="4580965" cy="2545977"/>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11</xdr:col>
      <xdr:colOff>401782</xdr:colOff>
      <xdr:row>29</xdr:row>
      <xdr:rowOff>27710</xdr:rowOff>
    </xdr:from>
    <xdr:to>
      <xdr:col>20</xdr:col>
      <xdr:colOff>0</xdr:colOff>
      <xdr:row>42</xdr:row>
      <xdr:rowOff>69274</xdr:rowOff>
    </xdr:to>
    <xdr:graphicFrame macro="">
      <xdr:nvGraphicFramePr>
        <xdr:cNvPr id="125" name="Chart 124">
          <a:extLst>
            <a:ext uri="{FF2B5EF4-FFF2-40B4-BE49-F238E27FC236}">
              <a16:creationId xmlns:a16="http://schemas.microsoft.com/office/drawing/2014/main" id="{6A4C96FE-4740-4104-AAC5-82A7D6FF9C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53788</xdr:colOff>
      <xdr:row>14</xdr:row>
      <xdr:rowOff>71717</xdr:rowOff>
    </xdr:from>
    <xdr:to>
      <xdr:col>23</xdr:col>
      <xdr:colOff>197224</xdr:colOff>
      <xdr:row>23</xdr:row>
      <xdr:rowOff>134470</xdr:rowOff>
    </xdr:to>
    <xdr:sp macro="" textlink="">
      <xdr:nvSpPr>
        <xdr:cNvPr id="128" name="Rectangle: Rounded Corners 127">
          <a:extLst>
            <a:ext uri="{FF2B5EF4-FFF2-40B4-BE49-F238E27FC236}">
              <a16:creationId xmlns:a16="http://schemas.microsoft.com/office/drawing/2014/main" id="{4B37E83C-1A36-BA03-9CB1-1BC9E5968220}"/>
            </a:ext>
          </a:extLst>
        </xdr:cNvPr>
        <xdr:cNvSpPr/>
      </xdr:nvSpPr>
      <xdr:spPr>
        <a:xfrm>
          <a:off x="12245788" y="2581835"/>
          <a:ext cx="1972236" cy="1676400"/>
        </a:xfrm>
        <a:prstGeom prst="roundRect">
          <a:avLst>
            <a:gd name="adj" fmla="val 3948"/>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20</xdr:col>
      <xdr:colOff>143435</xdr:colOff>
      <xdr:row>25</xdr:row>
      <xdr:rowOff>44823</xdr:rowOff>
    </xdr:from>
    <xdr:to>
      <xdr:col>23</xdr:col>
      <xdr:colOff>215153</xdr:colOff>
      <xdr:row>36</xdr:row>
      <xdr:rowOff>161365</xdr:rowOff>
    </xdr:to>
    <mc:AlternateContent xmlns:mc="http://schemas.openxmlformats.org/markup-compatibility/2006">
      <mc:Choice xmlns:a14="http://schemas.microsoft.com/office/drawing/2010/main" Requires="a14">
        <xdr:graphicFrame macro="">
          <xdr:nvGraphicFramePr>
            <xdr:cNvPr id="129" name="City 1">
              <a:extLst>
                <a:ext uri="{FF2B5EF4-FFF2-40B4-BE49-F238E27FC236}">
                  <a16:creationId xmlns:a16="http://schemas.microsoft.com/office/drawing/2014/main" id="{0550E9ED-7771-4371-A54D-2F69C5EAA33F}"/>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2335435" y="4547550"/>
              <a:ext cx="1900518" cy="20977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125507</xdr:colOff>
      <xdr:row>15</xdr:row>
      <xdr:rowOff>8966</xdr:rowOff>
    </xdr:from>
    <xdr:to>
      <xdr:col>23</xdr:col>
      <xdr:colOff>125507</xdr:colOff>
      <xdr:row>22</xdr:row>
      <xdr:rowOff>161365</xdr:rowOff>
    </xdr:to>
    <mc:AlternateContent xmlns:mc="http://schemas.openxmlformats.org/markup-compatibility/2006">
      <mc:Choice xmlns:a14="http://schemas.microsoft.com/office/drawing/2010/main" Requires="a14">
        <xdr:graphicFrame macro="">
          <xdr:nvGraphicFramePr>
            <xdr:cNvPr id="131" name="Brand 1">
              <a:extLst>
                <a:ext uri="{FF2B5EF4-FFF2-40B4-BE49-F238E27FC236}">
                  <a16:creationId xmlns:a16="http://schemas.microsoft.com/office/drawing/2014/main" id="{6970331B-65EE-45EA-A765-09EDAC9EEB81}"/>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dr:sp macro="" textlink="">
          <xdr:nvSpPr>
            <xdr:cNvPr id="0" name=""/>
            <xdr:cNvSpPr>
              <a:spLocks noTextEdit="1"/>
            </xdr:cNvSpPr>
          </xdr:nvSpPr>
          <xdr:spPr>
            <a:xfrm>
              <a:off x="12317507" y="2710602"/>
              <a:ext cx="1828800" cy="14131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89646</xdr:colOff>
      <xdr:row>7</xdr:row>
      <xdr:rowOff>170330</xdr:rowOff>
    </xdr:from>
    <xdr:to>
      <xdr:col>13</xdr:col>
      <xdr:colOff>394446</xdr:colOff>
      <xdr:row>13</xdr:row>
      <xdr:rowOff>8965</xdr:rowOff>
    </xdr:to>
    <xdr:pic>
      <xdr:nvPicPr>
        <xdr:cNvPr id="134" name="Graphic 133" descr="Piggy Bank">
          <a:extLst>
            <a:ext uri="{FF2B5EF4-FFF2-40B4-BE49-F238E27FC236}">
              <a16:creationId xmlns:a16="http://schemas.microsoft.com/office/drawing/2014/main" id="{1D8FB503-16BE-800A-D733-FB9C7807710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404846" y="1425389"/>
          <a:ext cx="914400" cy="914400"/>
        </a:xfrm>
        <a:prstGeom prst="rect">
          <a:avLst/>
        </a:prstGeom>
      </xdr:spPr>
    </xdr:pic>
    <xdr:clientData/>
  </xdr:twoCellAnchor>
  <xdr:twoCellAnchor editAs="oneCell">
    <xdr:from>
      <xdr:col>0</xdr:col>
      <xdr:colOff>526518</xdr:colOff>
      <xdr:row>8</xdr:row>
      <xdr:rowOff>78283</xdr:rowOff>
    </xdr:from>
    <xdr:to>
      <xdr:col>2</xdr:col>
      <xdr:colOff>221718</xdr:colOff>
      <xdr:row>13</xdr:row>
      <xdr:rowOff>96212</xdr:rowOff>
    </xdr:to>
    <xdr:pic>
      <xdr:nvPicPr>
        <xdr:cNvPr id="136" name="Graphic 135" descr="Coins">
          <a:extLst>
            <a:ext uri="{FF2B5EF4-FFF2-40B4-BE49-F238E27FC236}">
              <a16:creationId xmlns:a16="http://schemas.microsoft.com/office/drawing/2014/main" id="{05B7AA39-EE4F-16B7-6D0C-605065ECB0D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26518" y="1512636"/>
          <a:ext cx="914400" cy="914400"/>
        </a:xfrm>
        <a:prstGeom prst="rect">
          <a:avLst/>
        </a:prstGeom>
      </xdr:spPr>
    </xdr:pic>
    <xdr:clientData/>
  </xdr:twoCellAnchor>
  <xdr:twoCellAnchor editAs="oneCell">
    <xdr:from>
      <xdr:col>6</xdr:col>
      <xdr:colOff>376517</xdr:colOff>
      <xdr:row>8</xdr:row>
      <xdr:rowOff>143435</xdr:rowOff>
    </xdr:from>
    <xdr:to>
      <xdr:col>7</xdr:col>
      <xdr:colOff>467928</xdr:colOff>
      <xdr:row>12</xdr:row>
      <xdr:rowOff>127270</xdr:rowOff>
    </xdr:to>
    <xdr:pic>
      <xdr:nvPicPr>
        <xdr:cNvPr id="140" name="Graphic 139" descr="Money">
          <a:extLst>
            <a:ext uri="{FF2B5EF4-FFF2-40B4-BE49-F238E27FC236}">
              <a16:creationId xmlns:a16="http://schemas.microsoft.com/office/drawing/2014/main" id="{17890B63-DE88-A0A0-EAD3-97468E5ED77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034117" y="1577788"/>
          <a:ext cx="701011" cy="701011"/>
        </a:xfrm>
        <a:prstGeom prst="rect">
          <a:avLst/>
        </a:prstGeom>
      </xdr:spPr>
    </xdr:pic>
    <xdr:clientData/>
  </xdr:twoCellAnchor>
  <xdr:twoCellAnchor editAs="oneCell">
    <xdr:from>
      <xdr:col>17</xdr:col>
      <xdr:colOff>367552</xdr:colOff>
      <xdr:row>8</xdr:row>
      <xdr:rowOff>17929</xdr:rowOff>
    </xdr:from>
    <xdr:to>
      <xdr:col>19</xdr:col>
      <xdr:colOff>62752</xdr:colOff>
      <xdr:row>12</xdr:row>
      <xdr:rowOff>161365</xdr:rowOff>
    </xdr:to>
    <xdr:pic>
      <xdr:nvPicPr>
        <xdr:cNvPr id="142" name="Graphic 141" descr="Database">
          <a:extLst>
            <a:ext uri="{FF2B5EF4-FFF2-40B4-BE49-F238E27FC236}">
              <a16:creationId xmlns:a16="http://schemas.microsoft.com/office/drawing/2014/main" id="{60AC8111-8B0F-6B2A-DFB6-EA3428B2E16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730752" y="1452282"/>
          <a:ext cx="914400" cy="860612"/>
        </a:xfrm>
        <a:prstGeom prst="rect">
          <a:avLst/>
        </a:prstGeom>
      </xdr:spPr>
    </xdr:pic>
    <xdr:clientData/>
  </xdr:twoCellAnchor>
  <xdr:twoCellAnchor editAs="oneCell">
    <xdr:from>
      <xdr:col>2</xdr:col>
      <xdr:colOff>555812</xdr:colOff>
      <xdr:row>1</xdr:row>
      <xdr:rowOff>89648</xdr:rowOff>
    </xdr:from>
    <xdr:to>
      <xdr:col>4</xdr:col>
      <xdr:colOff>251012</xdr:colOff>
      <xdr:row>6</xdr:row>
      <xdr:rowOff>107577</xdr:rowOff>
    </xdr:to>
    <xdr:pic>
      <xdr:nvPicPr>
        <xdr:cNvPr id="144" name="Graphic 143" descr="Smart Phone">
          <a:extLst>
            <a:ext uri="{FF2B5EF4-FFF2-40B4-BE49-F238E27FC236}">
              <a16:creationId xmlns:a16="http://schemas.microsoft.com/office/drawing/2014/main" id="{07A3A5EF-E21B-B83F-A82D-931B1710ED1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775012" y="268942"/>
          <a:ext cx="914400" cy="914400"/>
        </a:xfrm>
        <a:prstGeom prst="rect">
          <a:avLst/>
        </a:prstGeom>
      </xdr:spPr>
    </xdr:pic>
    <xdr:clientData/>
  </xdr:twoCellAnchor>
  <xdr:twoCellAnchor>
    <xdr:from>
      <xdr:col>25</xdr:col>
      <xdr:colOff>55418</xdr:colOff>
      <xdr:row>12</xdr:row>
      <xdr:rowOff>69273</xdr:rowOff>
    </xdr:from>
    <xdr:to>
      <xdr:col>35</xdr:col>
      <xdr:colOff>180109</xdr:colOff>
      <xdr:row>36</xdr:row>
      <xdr:rowOff>41564</xdr:rowOff>
    </xdr:to>
    <xdr:sp macro="" textlink="">
      <xdr:nvSpPr>
        <xdr:cNvPr id="152" name="TextBox 151">
          <a:extLst>
            <a:ext uri="{FF2B5EF4-FFF2-40B4-BE49-F238E27FC236}">
              <a16:creationId xmlns:a16="http://schemas.microsoft.com/office/drawing/2014/main" id="{E3B9F2D9-CD1B-83BD-BF31-EEA8BCA9C5EF}"/>
            </a:ext>
          </a:extLst>
        </xdr:cNvPr>
        <xdr:cNvSpPr txBox="1"/>
      </xdr:nvSpPr>
      <xdr:spPr>
        <a:xfrm>
          <a:off x="15295418" y="2230582"/>
          <a:ext cx="6220691" cy="4294909"/>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800" b="1" i="1">
              <a:solidFill>
                <a:schemeClr val="tx1"/>
              </a:solidFill>
              <a:latin typeface="Book Antiqua" panose="02040602050305030304" pitchFamily="18" charset="0"/>
            </a:rPr>
            <a:t>Business</a:t>
          </a:r>
          <a:r>
            <a:rPr lang="en-IN" sz="1800" b="1" i="1" baseline="0">
              <a:solidFill>
                <a:schemeClr val="tx1"/>
              </a:solidFill>
              <a:latin typeface="Book Antiqua" panose="02040602050305030304" pitchFamily="18" charset="0"/>
            </a:rPr>
            <a:t> Insights :</a:t>
          </a:r>
        </a:p>
        <a:p>
          <a:pPr algn="l"/>
          <a:endParaRPr lang="en-IN" sz="1800" b="1" i="1">
            <a:solidFill>
              <a:schemeClr val="tx1"/>
            </a:solidFill>
            <a:latin typeface="Book Antiqua" panose="02040602050305030304" pitchFamily="18" charset="0"/>
          </a:endParaRPr>
        </a:p>
        <a:p>
          <a:pPr algn="l"/>
          <a:r>
            <a:rPr lang="en-IN" sz="1800" b="1" i="1">
              <a:solidFill>
                <a:schemeClr val="tx1"/>
              </a:solidFill>
              <a:latin typeface="Book Antiqua" panose="02040602050305030304" pitchFamily="18" charset="0"/>
            </a:rPr>
            <a:t>&gt;</a:t>
          </a:r>
          <a:r>
            <a:rPr lang="en-IN" sz="1800" b="1" i="1" baseline="0">
              <a:solidFill>
                <a:schemeClr val="tx1"/>
              </a:solidFill>
              <a:latin typeface="Book Antiqua" panose="02040602050305030304" pitchFamily="18" charset="0"/>
            </a:rPr>
            <a:t> Total units sold during the period reached 762  units.</a:t>
          </a:r>
        </a:p>
        <a:p>
          <a:pPr algn="l"/>
          <a:endParaRPr lang="en-IN" sz="1800" b="1" i="1" baseline="0">
            <a:solidFill>
              <a:schemeClr val="tx1"/>
            </a:solidFill>
            <a:latin typeface="Book Antiqua" panose="02040602050305030304" pitchFamily="18" charset="0"/>
          </a:endParaRPr>
        </a:p>
        <a:p>
          <a:pPr algn="l"/>
          <a:r>
            <a:rPr lang="en-IN" sz="1800" b="1" i="1" baseline="0">
              <a:solidFill>
                <a:schemeClr val="tx1"/>
              </a:solidFill>
              <a:latin typeface="Book Antiqua" panose="02040602050305030304" pitchFamily="18" charset="0"/>
            </a:rPr>
            <a:t>&gt; Apple generated the highest revenue of (15.6 L) compared to other brands.</a:t>
          </a:r>
        </a:p>
        <a:p>
          <a:pPr algn="l"/>
          <a:endParaRPr lang="en-IN" sz="1800" b="1" i="1" baseline="0">
            <a:solidFill>
              <a:schemeClr val="tx1"/>
            </a:solidFill>
            <a:latin typeface="Book Antiqua" panose="02040602050305030304" pitchFamily="18" charset="0"/>
          </a:endParaRPr>
        </a:p>
        <a:p>
          <a:pPr algn="l"/>
          <a:r>
            <a:rPr lang="en-IN" sz="1800" b="1" i="1" baseline="0">
              <a:solidFill>
                <a:schemeClr val="tx1"/>
              </a:solidFill>
              <a:latin typeface="Book Antiqua" panose="02040602050305030304" pitchFamily="18" charset="0"/>
            </a:rPr>
            <a:t>&gt; Meena emerged as the top performing salesperson in terms of revenue.</a:t>
          </a:r>
        </a:p>
        <a:p>
          <a:pPr algn="l"/>
          <a:endParaRPr lang="en-IN" sz="1800" b="1" i="1" baseline="0">
            <a:solidFill>
              <a:schemeClr val="tx1"/>
            </a:solidFill>
            <a:latin typeface="Book Antiqua" panose="02040602050305030304" pitchFamily="18" charset="0"/>
          </a:endParaRPr>
        </a:p>
        <a:p>
          <a:pPr algn="l"/>
          <a:r>
            <a:rPr lang="en-IN" sz="1800" b="1" i="1" baseline="0">
              <a:solidFill>
                <a:schemeClr val="tx1"/>
              </a:solidFill>
              <a:latin typeface="Book Antiqua" panose="02040602050305030304" pitchFamily="18" charset="0"/>
            </a:rPr>
            <a:t>&gt; Banglore recorded the highest city -wise revenue contribution.</a:t>
          </a:r>
        </a:p>
        <a:p>
          <a:pPr algn="l"/>
          <a:endParaRPr lang="en-IN" sz="1800" b="1" i="1" baseline="0">
            <a:solidFill>
              <a:schemeClr val="tx1"/>
            </a:solidFill>
            <a:latin typeface="Book Antiqua" panose="02040602050305030304" pitchFamily="18" charset="0"/>
          </a:endParaRPr>
        </a:p>
        <a:p>
          <a:pPr algn="l"/>
          <a:r>
            <a:rPr lang="en-IN" sz="1800" b="1" i="1" baseline="0">
              <a:solidFill>
                <a:schemeClr val="tx1"/>
              </a:solidFill>
              <a:latin typeface="Book Antiqua" panose="02040602050305030304" pitchFamily="18" charset="0"/>
            </a:rPr>
            <a:t>&gt; Sales showed steady growth with a temporary dip</a:t>
          </a:r>
        </a:p>
        <a:p>
          <a:pPr algn="l"/>
          <a:r>
            <a:rPr lang="en-IN" sz="1800" b="1" i="1" baseline="0">
              <a:solidFill>
                <a:schemeClr val="tx1"/>
              </a:solidFill>
              <a:latin typeface="Book Antiqua" panose="02040602050305030304" pitchFamily="18" charset="0"/>
            </a:rPr>
            <a:t>before recovering strongly.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 Sharp" refreshedDate="46076.551447685182" createdVersion="8" refreshedVersion="8" minRefreshableVersion="3" recordCount="150" xr:uid="{443E315F-D2C7-46B7-9E4B-36725B3F3A7A}">
  <cacheSource type="worksheet">
    <worksheetSource name="Table1"/>
  </cacheSource>
  <cacheFields count="10">
    <cacheField name="Date" numFmtId="14">
      <sharedItems containsSemiMixedTypes="0" containsNonDate="0" containsDate="1" containsString="0" minDate="2024-01-01T00:00:00" maxDate="2024-05-30T00:00:00" count="15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sharedItems>
      <fieldGroup par="9"/>
    </cacheField>
    <cacheField name="City" numFmtId="0">
      <sharedItems count="5">
        <s v="Bangalore"/>
        <s v="Mumbai"/>
        <s v="Chennai"/>
        <s v="Delhi"/>
        <s v="Hyderabad"/>
      </sharedItems>
    </cacheField>
    <cacheField name="Brand" numFmtId="0">
      <sharedItems count="4">
        <s v="Apple"/>
        <s v="Samsung"/>
        <s v="OnePlus"/>
        <s v="Vivo"/>
      </sharedItems>
    </cacheField>
    <cacheField name="Model" numFmtId="0">
      <sharedItems count="7">
        <s v="iPhone 14"/>
        <s v="S22"/>
        <s v="11R"/>
        <s v="V27"/>
        <s v="iPhone 13"/>
        <s v="10T"/>
        <s v="S23"/>
      </sharedItems>
    </cacheField>
    <cacheField name="Salesperson" numFmtId="0">
      <sharedItems count="5">
        <s v="Priya"/>
        <s v="Meena"/>
        <s v="Rahul"/>
        <s v="Kiran"/>
        <s v="Arjun"/>
      </sharedItems>
    </cacheField>
    <cacheField name="Units_Sold" numFmtId="0">
      <sharedItems containsSemiMixedTypes="0" containsString="0" containsNumber="1" containsInteger="1" minValue="2" maxValue="8"/>
    </cacheField>
    <cacheField name="Price" numFmtId="0">
      <sharedItems containsSemiMixedTypes="0" containsString="0" containsNumber="1" containsInteger="1" minValue="25000" maxValue="70000"/>
    </cacheField>
    <cacheField name="Total sales" numFmtId="164">
      <sharedItems containsSemiMixedTypes="0" containsString="0" containsNumber="1" containsInteger="1" minValue="50000" maxValue="560000"/>
    </cacheField>
    <cacheField name="Profit" numFmtId="164">
      <sharedItems containsSemiMixedTypes="0" containsString="0" containsNumber="1" containsInteger="1" minValue="25000" maxValue="490000"/>
    </cacheField>
    <cacheField name="Months (Date)" numFmtId="0" databaseField="0">
      <fieldGroup base="0">
        <rangePr groupBy="months" startDate="2024-01-01T00:00:00" endDate="2024-05-30T00:00:00"/>
        <groupItems count="14">
          <s v="&lt;01-01-2024"/>
          <s v="Jan"/>
          <s v="Feb"/>
          <s v="Mar"/>
          <s v="Apr"/>
          <s v="May"/>
          <s v="Jun"/>
          <s v="Jul"/>
          <s v="Aug"/>
          <s v="Sep"/>
          <s v="Oct"/>
          <s v="Nov"/>
          <s v="Dec"/>
          <s v="&gt;30-05-2024"/>
        </groupItems>
      </fieldGroup>
    </cacheField>
  </cacheFields>
  <extLst>
    <ext xmlns:x14="http://schemas.microsoft.com/office/spreadsheetml/2009/9/main" uri="{725AE2AE-9491-48be-B2B4-4EB974FC3084}">
      <x14:pivotCacheDefinition pivotCacheId="10096186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x v="0"/>
    <x v="0"/>
    <x v="0"/>
    <n v="8"/>
    <n v="70000"/>
    <n v="560000"/>
    <n v="490000"/>
  </r>
  <r>
    <x v="1"/>
    <x v="0"/>
    <x v="1"/>
    <x v="1"/>
    <x v="1"/>
    <n v="8"/>
    <n v="45000"/>
    <n v="360000"/>
    <n v="315000"/>
  </r>
  <r>
    <x v="2"/>
    <x v="0"/>
    <x v="2"/>
    <x v="2"/>
    <x v="2"/>
    <n v="2"/>
    <n v="40000"/>
    <n v="80000"/>
    <n v="40000"/>
  </r>
  <r>
    <x v="3"/>
    <x v="1"/>
    <x v="2"/>
    <x v="2"/>
    <x v="3"/>
    <n v="6"/>
    <n v="40000"/>
    <n v="240000"/>
    <n v="200000"/>
  </r>
  <r>
    <x v="4"/>
    <x v="0"/>
    <x v="3"/>
    <x v="3"/>
    <x v="0"/>
    <n v="3"/>
    <n v="25000"/>
    <n v="75000"/>
    <n v="50000"/>
  </r>
  <r>
    <x v="5"/>
    <x v="2"/>
    <x v="0"/>
    <x v="0"/>
    <x v="2"/>
    <n v="7"/>
    <n v="70000"/>
    <n v="490000"/>
    <n v="420000"/>
  </r>
  <r>
    <x v="6"/>
    <x v="0"/>
    <x v="1"/>
    <x v="1"/>
    <x v="3"/>
    <n v="4"/>
    <n v="45000"/>
    <n v="180000"/>
    <n v="135000"/>
  </r>
  <r>
    <x v="7"/>
    <x v="0"/>
    <x v="0"/>
    <x v="4"/>
    <x v="2"/>
    <n v="2"/>
    <n v="60000"/>
    <n v="120000"/>
    <n v="60000"/>
  </r>
  <r>
    <x v="8"/>
    <x v="2"/>
    <x v="3"/>
    <x v="3"/>
    <x v="2"/>
    <n v="5"/>
    <n v="25000"/>
    <n v="125000"/>
    <n v="100000"/>
  </r>
  <r>
    <x v="9"/>
    <x v="2"/>
    <x v="2"/>
    <x v="5"/>
    <x v="3"/>
    <n v="3"/>
    <n v="38000"/>
    <n v="114000"/>
    <n v="76000"/>
  </r>
  <r>
    <x v="10"/>
    <x v="3"/>
    <x v="0"/>
    <x v="0"/>
    <x v="1"/>
    <n v="3"/>
    <n v="70000"/>
    <n v="210000"/>
    <n v="140000"/>
  </r>
  <r>
    <x v="11"/>
    <x v="0"/>
    <x v="1"/>
    <x v="6"/>
    <x v="0"/>
    <n v="7"/>
    <n v="55000"/>
    <n v="385000"/>
    <n v="330000"/>
  </r>
  <r>
    <x v="12"/>
    <x v="1"/>
    <x v="0"/>
    <x v="0"/>
    <x v="3"/>
    <n v="5"/>
    <n v="70000"/>
    <n v="350000"/>
    <n v="280000"/>
  </r>
  <r>
    <x v="13"/>
    <x v="2"/>
    <x v="0"/>
    <x v="4"/>
    <x v="1"/>
    <n v="3"/>
    <n v="60000"/>
    <n v="180000"/>
    <n v="120000"/>
  </r>
  <r>
    <x v="14"/>
    <x v="4"/>
    <x v="3"/>
    <x v="3"/>
    <x v="1"/>
    <n v="4"/>
    <n v="25000"/>
    <n v="100000"/>
    <n v="75000"/>
  </r>
  <r>
    <x v="15"/>
    <x v="4"/>
    <x v="3"/>
    <x v="3"/>
    <x v="4"/>
    <n v="5"/>
    <n v="25000"/>
    <n v="125000"/>
    <n v="100000"/>
  </r>
  <r>
    <x v="16"/>
    <x v="3"/>
    <x v="2"/>
    <x v="2"/>
    <x v="3"/>
    <n v="5"/>
    <n v="40000"/>
    <n v="200000"/>
    <n v="160000"/>
  </r>
  <r>
    <x v="17"/>
    <x v="4"/>
    <x v="3"/>
    <x v="3"/>
    <x v="0"/>
    <n v="7"/>
    <n v="25000"/>
    <n v="175000"/>
    <n v="150000"/>
  </r>
  <r>
    <x v="18"/>
    <x v="4"/>
    <x v="3"/>
    <x v="3"/>
    <x v="3"/>
    <n v="2"/>
    <n v="25000"/>
    <n v="50000"/>
    <n v="25000"/>
  </r>
  <r>
    <x v="19"/>
    <x v="2"/>
    <x v="1"/>
    <x v="6"/>
    <x v="3"/>
    <n v="7"/>
    <n v="55000"/>
    <n v="385000"/>
    <n v="330000"/>
  </r>
  <r>
    <x v="20"/>
    <x v="1"/>
    <x v="0"/>
    <x v="4"/>
    <x v="4"/>
    <n v="3"/>
    <n v="60000"/>
    <n v="180000"/>
    <n v="120000"/>
  </r>
  <r>
    <x v="21"/>
    <x v="1"/>
    <x v="0"/>
    <x v="0"/>
    <x v="1"/>
    <n v="6"/>
    <n v="70000"/>
    <n v="420000"/>
    <n v="350000"/>
  </r>
  <r>
    <x v="22"/>
    <x v="0"/>
    <x v="0"/>
    <x v="4"/>
    <x v="1"/>
    <n v="6"/>
    <n v="60000"/>
    <n v="360000"/>
    <n v="300000"/>
  </r>
  <r>
    <x v="23"/>
    <x v="3"/>
    <x v="2"/>
    <x v="2"/>
    <x v="3"/>
    <n v="2"/>
    <n v="40000"/>
    <n v="80000"/>
    <n v="40000"/>
  </r>
  <r>
    <x v="24"/>
    <x v="2"/>
    <x v="3"/>
    <x v="3"/>
    <x v="0"/>
    <n v="5"/>
    <n v="25000"/>
    <n v="125000"/>
    <n v="100000"/>
  </r>
  <r>
    <x v="25"/>
    <x v="1"/>
    <x v="1"/>
    <x v="1"/>
    <x v="4"/>
    <n v="3"/>
    <n v="45000"/>
    <n v="135000"/>
    <n v="90000"/>
  </r>
  <r>
    <x v="26"/>
    <x v="0"/>
    <x v="1"/>
    <x v="6"/>
    <x v="0"/>
    <n v="4"/>
    <n v="55000"/>
    <n v="220000"/>
    <n v="165000"/>
  </r>
  <r>
    <x v="27"/>
    <x v="2"/>
    <x v="2"/>
    <x v="2"/>
    <x v="2"/>
    <n v="3"/>
    <n v="40000"/>
    <n v="120000"/>
    <n v="80000"/>
  </r>
  <r>
    <x v="28"/>
    <x v="0"/>
    <x v="3"/>
    <x v="3"/>
    <x v="3"/>
    <n v="6"/>
    <n v="25000"/>
    <n v="150000"/>
    <n v="125000"/>
  </r>
  <r>
    <x v="29"/>
    <x v="2"/>
    <x v="1"/>
    <x v="1"/>
    <x v="1"/>
    <n v="5"/>
    <n v="45000"/>
    <n v="225000"/>
    <n v="180000"/>
  </r>
  <r>
    <x v="30"/>
    <x v="3"/>
    <x v="0"/>
    <x v="0"/>
    <x v="0"/>
    <n v="8"/>
    <n v="70000"/>
    <n v="560000"/>
    <n v="490000"/>
  </r>
  <r>
    <x v="31"/>
    <x v="3"/>
    <x v="2"/>
    <x v="5"/>
    <x v="4"/>
    <n v="2"/>
    <n v="38000"/>
    <n v="76000"/>
    <n v="38000"/>
  </r>
  <r>
    <x v="32"/>
    <x v="2"/>
    <x v="1"/>
    <x v="6"/>
    <x v="4"/>
    <n v="3"/>
    <n v="55000"/>
    <n v="165000"/>
    <n v="110000"/>
  </r>
  <r>
    <x v="33"/>
    <x v="4"/>
    <x v="1"/>
    <x v="6"/>
    <x v="4"/>
    <n v="4"/>
    <n v="55000"/>
    <n v="220000"/>
    <n v="165000"/>
  </r>
  <r>
    <x v="34"/>
    <x v="3"/>
    <x v="1"/>
    <x v="6"/>
    <x v="2"/>
    <n v="2"/>
    <n v="55000"/>
    <n v="110000"/>
    <n v="55000"/>
  </r>
  <r>
    <x v="35"/>
    <x v="0"/>
    <x v="3"/>
    <x v="3"/>
    <x v="2"/>
    <n v="6"/>
    <n v="25000"/>
    <n v="150000"/>
    <n v="125000"/>
  </r>
  <r>
    <x v="36"/>
    <x v="1"/>
    <x v="0"/>
    <x v="0"/>
    <x v="1"/>
    <n v="8"/>
    <n v="70000"/>
    <n v="560000"/>
    <n v="490000"/>
  </r>
  <r>
    <x v="37"/>
    <x v="1"/>
    <x v="1"/>
    <x v="1"/>
    <x v="4"/>
    <n v="2"/>
    <n v="45000"/>
    <n v="90000"/>
    <n v="45000"/>
  </r>
  <r>
    <x v="38"/>
    <x v="0"/>
    <x v="2"/>
    <x v="2"/>
    <x v="1"/>
    <n v="4"/>
    <n v="40000"/>
    <n v="160000"/>
    <n v="120000"/>
  </r>
  <r>
    <x v="39"/>
    <x v="4"/>
    <x v="1"/>
    <x v="6"/>
    <x v="4"/>
    <n v="5"/>
    <n v="55000"/>
    <n v="275000"/>
    <n v="220000"/>
  </r>
  <r>
    <x v="40"/>
    <x v="3"/>
    <x v="0"/>
    <x v="4"/>
    <x v="1"/>
    <n v="8"/>
    <n v="60000"/>
    <n v="480000"/>
    <n v="420000"/>
  </r>
  <r>
    <x v="41"/>
    <x v="4"/>
    <x v="1"/>
    <x v="6"/>
    <x v="2"/>
    <n v="4"/>
    <n v="55000"/>
    <n v="220000"/>
    <n v="165000"/>
  </r>
  <r>
    <x v="42"/>
    <x v="0"/>
    <x v="1"/>
    <x v="6"/>
    <x v="2"/>
    <n v="5"/>
    <n v="55000"/>
    <n v="275000"/>
    <n v="220000"/>
  </r>
  <r>
    <x v="43"/>
    <x v="2"/>
    <x v="1"/>
    <x v="1"/>
    <x v="4"/>
    <n v="5"/>
    <n v="45000"/>
    <n v="225000"/>
    <n v="180000"/>
  </r>
  <r>
    <x v="44"/>
    <x v="2"/>
    <x v="1"/>
    <x v="1"/>
    <x v="1"/>
    <n v="8"/>
    <n v="45000"/>
    <n v="360000"/>
    <n v="315000"/>
  </r>
  <r>
    <x v="45"/>
    <x v="4"/>
    <x v="1"/>
    <x v="1"/>
    <x v="3"/>
    <n v="8"/>
    <n v="45000"/>
    <n v="360000"/>
    <n v="315000"/>
  </r>
  <r>
    <x v="46"/>
    <x v="1"/>
    <x v="3"/>
    <x v="3"/>
    <x v="4"/>
    <n v="5"/>
    <n v="25000"/>
    <n v="125000"/>
    <n v="100000"/>
  </r>
  <r>
    <x v="47"/>
    <x v="2"/>
    <x v="1"/>
    <x v="1"/>
    <x v="0"/>
    <n v="3"/>
    <n v="45000"/>
    <n v="135000"/>
    <n v="90000"/>
  </r>
  <r>
    <x v="48"/>
    <x v="4"/>
    <x v="1"/>
    <x v="1"/>
    <x v="3"/>
    <n v="5"/>
    <n v="45000"/>
    <n v="225000"/>
    <n v="180000"/>
  </r>
  <r>
    <x v="49"/>
    <x v="1"/>
    <x v="1"/>
    <x v="6"/>
    <x v="1"/>
    <n v="5"/>
    <n v="55000"/>
    <n v="275000"/>
    <n v="220000"/>
  </r>
  <r>
    <x v="50"/>
    <x v="1"/>
    <x v="3"/>
    <x v="3"/>
    <x v="3"/>
    <n v="7"/>
    <n v="25000"/>
    <n v="175000"/>
    <n v="150000"/>
  </r>
  <r>
    <x v="51"/>
    <x v="2"/>
    <x v="2"/>
    <x v="5"/>
    <x v="1"/>
    <n v="5"/>
    <n v="38000"/>
    <n v="190000"/>
    <n v="152000"/>
  </r>
  <r>
    <x v="52"/>
    <x v="0"/>
    <x v="3"/>
    <x v="3"/>
    <x v="4"/>
    <n v="8"/>
    <n v="25000"/>
    <n v="200000"/>
    <n v="175000"/>
  </r>
  <r>
    <x v="53"/>
    <x v="3"/>
    <x v="0"/>
    <x v="4"/>
    <x v="3"/>
    <n v="4"/>
    <n v="60000"/>
    <n v="240000"/>
    <n v="180000"/>
  </r>
  <r>
    <x v="54"/>
    <x v="2"/>
    <x v="0"/>
    <x v="0"/>
    <x v="0"/>
    <n v="7"/>
    <n v="70000"/>
    <n v="490000"/>
    <n v="420000"/>
  </r>
  <r>
    <x v="55"/>
    <x v="4"/>
    <x v="3"/>
    <x v="3"/>
    <x v="1"/>
    <n v="6"/>
    <n v="25000"/>
    <n v="150000"/>
    <n v="125000"/>
  </r>
  <r>
    <x v="56"/>
    <x v="3"/>
    <x v="0"/>
    <x v="4"/>
    <x v="0"/>
    <n v="4"/>
    <n v="60000"/>
    <n v="240000"/>
    <n v="180000"/>
  </r>
  <r>
    <x v="57"/>
    <x v="1"/>
    <x v="1"/>
    <x v="6"/>
    <x v="2"/>
    <n v="4"/>
    <n v="55000"/>
    <n v="220000"/>
    <n v="165000"/>
  </r>
  <r>
    <x v="58"/>
    <x v="4"/>
    <x v="0"/>
    <x v="0"/>
    <x v="3"/>
    <n v="8"/>
    <n v="70000"/>
    <n v="560000"/>
    <n v="490000"/>
  </r>
  <r>
    <x v="59"/>
    <x v="0"/>
    <x v="1"/>
    <x v="1"/>
    <x v="1"/>
    <n v="6"/>
    <n v="45000"/>
    <n v="270000"/>
    <n v="225000"/>
  </r>
  <r>
    <x v="60"/>
    <x v="0"/>
    <x v="0"/>
    <x v="4"/>
    <x v="0"/>
    <n v="7"/>
    <n v="60000"/>
    <n v="420000"/>
    <n v="360000"/>
  </r>
  <r>
    <x v="61"/>
    <x v="3"/>
    <x v="0"/>
    <x v="4"/>
    <x v="1"/>
    <n v="4"/>
    <n v="60000"/>
    <n v="240000"/>
    <n v="180000"/>
  </r>
  <r>
    <x v="62"/>
    <x v="4"/>
    <x v="1"/>
    <x v="6"/>
    <x v="3"/>
    <n v="7"/>
    <n v="55000"/>
    <n v="385000"/>
    <n v="330000"/>
  </r>
  <r>
    <x v="63"/>
    <x v="1"/>
    <x v="2"/>
    <x v="2"/>
    <x v="1"/>
    <n v="8"/>
    <n v="40000"/>
    <n v="320000"/>
    <n v="280000"/>
  </r>
  <r>
    <x v="64"/>
    <x v="2"/>
    <x v="0"/>
    <x v="0"/>
    <x v="0"/>
    <n v="7"/>
    <n v="70000"/>
    <n v="490000"/>
    <n v="420000"/>
  </r>
  <r>
    <x v="65"/>
    <x v="3"/>
    <x v="2"/>
    <x v="5"/>
    <x v="1"/>
    <n v="3"/>
    <n v="38000"/>
    <n v="114000"/>
    <n v="76000"/>
  </r>
  <r>
    <x v="66"/>
    <x v="0"/>
    <x v="0"/>
    <x v="4"/>
    <x v="4"/>
    <n v="7"/>
    <n v="60000"/>
    <n v="420000"/>
    <n v="360000"/>
  </r>
  <r>
    <x v="67"/>
    <x v="0"/>
    <x v="1"/>
    <x v="1"/>
    <x v="3"/>
    <n v="4"/>
    <n v="45000"/>
    <n v="180000"/>
    <n v="135000"/>
  </r>
  <r>
    <x v="68"/>
    <x v="1"/>
    <x v="3"/>
    <x v="3"/>
    <x v="1"/>
    <n v="3"/>
    <n v="25000"/>
    <n v="75000"/>
    <n v="50000"/>
  </r>
  <r>
    <x v="69"/>
    <x v="3"/>
    <x v="2"/>
    <x v="5"/>
    <x v="2"/>
    <n v="4"/>
    <n v="38000"/>
    <n v="152000"/>
    <n v="114000"/>
  </r>
  <r>
    <x v="70"/>
    <x v="1"/>
    <x v="2"/>
    <x v="2"/>
    <x v="3"/>
    <n v="3"/>
    <n v="40000"/>
    <n v="120000"/>
    <n v="80000"/>
  </r>
  <r>
    <x v="71"/>
    <x v="2"/>
    <x v="3"/>
    <x v="3"/>
    <x v="4"/>
    <n v="3"/>
    <n v="25000"/>
    <n v="75000"/>
    <n v="50000"/>
  </r>
  <r>
    <x v="72"/>
    <x v="4"/>
    <x v="1"/>
    <x v="6"/>
    <x v="0"/>
    <n v="8"/>
    <n v="55000"/>
    <n v="440000"/>
    <n v="385000"/>
  </r>
  <r>
    <x v="73"/>
    <x v="4"/>
    <x v="3"/>
    <x v="3"/>
    <x v="3"/>
    <n v="2"/>
    <n v="25000"/>
    <n v="50000"/>
    <n v="25000"/>
  </r>
  <r>
    <x v="74"/>
    <x v="0"/>
    <x v="2"/>
    <x v="2"/>
    <x v="2"/>
    <n v="4"/>
    <n v="40000"/>
    <n v="160000"/>
    <n v="120000"/>
  </r>
  <r>
    <x v="75"/>
    <x v="3"/>
    <x v="2"/>
    <x v="5"/>
    <x v="0"/>
    <n v="6"/>
    <n v="38000"/>
    <n v="228000"/>
    <n v="190000"/>
  </r>
  <r>
    <x v="76"/>
    <x v="3"/>
    <x v="3"/>
    <x v="3"/>
    <x v="1"/>
    <n v="2"/>
    <n v="25000"/>
    <n v="50000"/>
    <n v="25000"/>
  </r>
  <r>
    <x v="77"/>
    <x v="2"/>
    <x v="1"/>
    <x v="1"/>
    <x v="3"/>
    <n v="7"/>
    <n v="45000"/>
    <n v="315000"/>
    <n v="270000"/>
  </r>
  <r>
    <x v="78"/>
    <x v="0"/>
    <x v="0"/>
    <x v="0"/>
    <x v="3"/>
    <n v="7"/>
    <n v="70000"/>
    <n v="490000"/>
    <n v="420000"/>
  </r>
  <r>
    <x v="79"/>
    <x v="0"/>
    <x v="0"/>
    <x v="0"/>
    <x v="3"/>
    <n v="3"/>
    <n v="70000"/>
    <n v="210000"/>
    <n v="140000"/>
  </r>
  <r>
    <x v="80"/>
    <x v="3"/>
    <x v="0"/>
    <x v="0"/>
    <x v="2"/>
    <n v="2"/>
    <n v="70000"/>
    <n v="140000"/>
    <n v="70000"/>
  </r>
  <r>
    <x v="81"/>
    <x v="4"/>
    <x v="0"/>
    <x v="4"/>
    <x v="2"/>
    <n v="8"/>
    <n v="60000"/>
    <n v="480000"/>
    <n v="420000"/>
  </r>
  <r>
    <x v="82"/>
    <x v="0"/>
    <x v="0"/>
    <x v="4"/>
    <x v="0"/>
    <n v="4"/>
    <n v="60000"/>
    <n v="240000"/>
    <n v="180000"/>
  </r>
  <r>
    <x v="83"/>
    <x v="4"/>
    <x v="1"/>
    <x v="6"/>
    <x v="0"/>
    <n v="2"/>
    <n v="55000"/>
    <n v="110000"/>
    <n v="55000"/>
  </r>
  <r>
    <x v="84"/>
    <x v="0"/>
    <x v="2"/>
    <x v="5"/>
    <x v="0"/>
    <n v="7"/>
    <n v="38000"/>
    <n v="266000"/>
    <n v="228000"/>
  </r>
  <r>
    <x v="85"/>
    <x v="0"/>
    <x v="2"/>
    <x v="5"/>
    <x v="0"/>
    <n v="3"/>
    <n v="38000"/>
    <n v="114000"/>
    <n v="76000"/>
  </r>
  <r>
    <x v="86"/>
    <x v="0"/>
    <x v="2"/>
    <x v="5"/>
    <x v="2"/>
    <n v="7"/>
    <n v="38000"/>
    <n v="266000"/>
    <n v="228000"/>
  </r>
  <r>
    <x v="87"/>
    <x v="3"/>
    <x v="1"/>
    <x v="1"/>
    <x v="4"/>
    <n v="6"/>
    <n v="45000"/>
    <n v="270000"/>
    <n v="225000"/>
  </r>
  <r>
    <x v="88"/>
    <x v="3"/>
    <x v="1"/>
    <x v="6"/>
    <x v="1"/>
    <n v="8"/>
    <n v="55000"/>
    <n v="440000"/>
    <n v="385000"/>
  </r>
  <r>
    <x v="89"/>
    <x v="2"/>
    <x v="0"/>
    <x v="0"/>
    <x v="0"/>
    <n v="5"/>
    <n v="70000"/>
    <n v="350000"/>
    <n v="280000"/>
  </r>
  <r>
    <x v="90"/>
    <x v="1"/>
    <x v="0"/>
    <x v="4"/>
    <x v="1"/>
    <n v="6"/>
    <n v="60000"/>
    <n v="360000"/>
    <n v="300000"/>
  </r>
  <r>
    <x v="91"/>
    <x v="4"/>
    <x v="2"/>
    <x v="5"/>
    <x v="4"/>
    <n v="6"/>
    <n v="38000"/>
    <n v="228000"/>
    <n v="190000"/>
  </r>
  <r>
    <x v="92"/>
    <x v="0"/>
    <x v="2"/>
    <x v="5"/>
    <x v="1"/>
    <n v="3"/>
    <n v="38000"/>
    <n v="114000"/>
    <n v="76000"/>
  </r>
  <r>
    <x v="93"/>
    <x v="4"/>
    <x v="2"/>
    <x v="5"/>
    <x v="3"/>
    <n v="2"/>
    <n v="38000"/>
    <n v="76000"/>
    <n v="38000"/>
  </r>
  <r>
    <x v="94"/>
    <x v="2"/>
    <x v="3"/>
    <x v="3"/>
    <x v="3"/>
    <n v="4"/>
    <n v="25000"/>
    <n v="100000"/>
    <n v="75000"/>
  </r>
  <r>
    <x v="95"/>
    <x v="1"/>
    <x v="2"/>
    <x v="5"/>
    <x v="2"/>
    <n v="8"/>
    <n v="38000"/>
    <n v="304000"/>
    <n v="266000"/>
  </r>
  <r>
    <x v="96"/>
    <x v="0"/>
    <x v="0"/>
    <x v="0"/>
    <x v="4"/>
    <n v="4"/>
    <n v="70000"/>
    <n v="280000"/>
    <n v="210000"/>
  </r>
  <r>
    <x v="97"/>
    <x v="0"/>
    <x v="0"/>
    <x v="0"/>
    <x v="4"/>
    <n v="5"/>
    <n v="70000"/>
    <n v="350000"/>
    <n v="280000"/>
  </r>
  <r>
    <x v="98"/>
    <x v="1"/>
    <x v="2"/>
    <x v="2"/>
    <x v="4"/>
    <n v="5"/>
    <n v="40000"/>
    <n v="200000"/>
    <n v="160000"/>
  </r>
  <r>
    <x v="99"/>
    <x v="1"/>
    <x v="3"/>
    <x v="3"/>
    <x v="1"/>
    <n v="2"/>
    <n v="25000"/>
    <n v="50000"/>
    <n v="25000"/>
  </r>
  <r>
    <x v="100"/>
    <x v="0"/>
    <x v="1"/>
    <x v="1"/>
    <x v="0"/>
    <n v="2"/>
    <n v="45000"/>
    <n v="90000"/>
    <n v="45000"/>
  </r>
  <r>
    <x v="101"/>
    <x v="2"/>
    <x v="0"/>
    <x v="0"/>
    <x v="3"/>
    <n v="2"/>
    <n v="70000"/>
    <n v="140000"/>
    <n v="70000"/>
  </r>
  <r>
    <x v="102"/>
    <x v="4"/>
    <x v="0"/>
    <x v="4"/>
    <x v="2"/>
    <n v="8"/>
    <n v="60000"/>
    <n v="480000"/>
    <n v="420000"/>
  </r>
  <r>
    <x v="103"/>
    <x v="0"/>
    <x v="3"/>
    <x v="3"/>
    <x v="4"/>
    <n v="5"/>
    <n v="25000"/>
    <n v="125000"/>
    <n v="100000"/>
  </r>
  <r>
    <x v="104"/>
    <x v="4"/>
    <x v="2"/>
    <x v="2"/>
    <x v="2"/>
    <n v="5"/>
    <n v="40000"/>
    <n v="200000"/>
    <n v="160000"/>
  </r>
  <r>
    <x v="105"/>
    <x v="2"/>
    <x v="3"/>
    <x v="3"/>
    <x v="2"/>
    <n v="5"/>
    <n v="25000"/>
    <n v="125000"/>
    <n v="100000"/>
  </r>
  <r>
    <x v="106"/>
    <x v="0"/>
    <x v="3"/>
    <x v="3"/>
    <x v="4"/>
    <n v="5"/>
    <n v="25000"/>
    <n v="125000"/>
    <n v="100000"/>
  </r>
  <r>
    <x v="107"/>
    <x v="3"/>
    <x v="0"/>
    <x v="0"/>
    <x v="4"/>
    <n v="4"/>
    <n v="70000"/>
    <n v="280000"/>
    <n v="210000"/>
  </r>
  <r>
    <x v="108"/>
    <x v="4"/>
    <x v="3"/>
    <x v="3"/>
    <x v="4"/>
    <n v="4"/>
    <n v="25000"/>
    <n v="100000"/>
    <n v="75000"/>
  </r>
  <r>
    <x v="109"/>
    <x v="4"/>
    <x v="2"/>
    <x v="5"/>
    <x v="4"/>
    <n v="2"/>
    <n v="38000"/>
    <n v="76000"/>
    <n v="38000"/>
  </r>
  <r>
    <x v="110"/>
    <x v="0"/>
    <x v="3"/>
    <x v="3"/>
    <x v="1"/>
    <n v="5"/>
    <n v="25000"/>
    <n v="125000"/>
    <n v="100000"/>
  </r>
  <r>
    <x v="111"/>
    <x v="0"/>
    <x v="1"/>
    <x v="1"/>
    <x v="2"/>
    <n v="6"/>
    <n v="45000"/>
    <n v="270000"/>
    <n v="225000"/>
  </r>
  <r>
    <x v="112"/>
    <x v="2"/>
    <x v="1"/>
    <x v="6"/>
    <x v="1"/>
    <n v="3"/>
    <n v="55000"/>
    <n v="165000"/>
    <n v="110000"/>
  </r>
  <r>
    <x v="113"/>
    <x v="1"/>
    <x v="0"/>
    <x v="4"/>
    <x v="3"/>
    <n v="5"/>
    <n v="60000"/>
    <n v="300000"/>
    <n v="240000"/>
  </r>
  <r>
    <x v="114"/>
    <x v="0"/>
    <x v="0"/>
    <x v="4"/>
    <x v="1"/>
    <n v="7"/>
    <n v="60000"/>
    <n v="420000"/>
    <n v="360000"/>
  </r>
  <r>
    <x v="115"/>
    <x v="0"/>
    <x v="2"/>
    <x v="5"/>
    <x v="4"/>
    <n v="4"/>
    <n v="38000"/>
    <n v="152000"/>
    <n v="114000"/>
  </r>
  <r>
    <x v="116"/>
    <x v="3"/>
    <x v="1"/>
    <x v="1"/>
    <x v="1"/>
    <n v="7"/>
    <n v="45000"/>
    <n v="315000"/>
    <n v="270000"/>
  </r>
  <r>
    <x v="117"/>
    <x v="3"/>
    <x v="0"/>
    <x v="4"/>
    <x v="2"/>
    <n v="3"/>
    <n v="60000"/>
    <n v="180000"/>
    <n v="120000"/>
  </r>
  <r>
    <x v="118"/>
    <x v="3"/>
    <x v="0"/>
    <x v="0"/>
    <x v="4"/>
    <n v="8"/>
    <n v="70000"/>
    <n v="560000"/>
    <n v="490000"/>
  </r>
  <r>
    <x v="119"/>
    <x v="3"/>
    <x v="3"/>
    <x v="3"/>
    <x v="0"/>
    <n v="8"/>
    <n v="25000"/>
    <n v="200000"/>
    <n v="175000"/>
  </r>
  <r>
    <x v="120"/>
    <x v="0"/>
    <x v="2"/>
    <x v="2"/>
    <x v="3"/>
    <n v="3"/>
    <n v="40000"/>
    <n v="120000"/>
    <n v="80000"/>
  </r>
  <r>
    <x v="121"/>
    <x v="3"/>
    <x v="2"/>
    <x v="5"/>
    <x v="1"/>
    <n v="5"/>
    <n v="38000"/>
    <n v="190000"/>
    <n v="152000"/>
  </r>
  <r>
    <x v="122"/>
    <x v="2"/>
    <x v="1"/>
    <x v="6"/>
    <x v="3"/>
    <n v="8"/>
    <n v="55000"/>
    <n v="440000"/>
    <n v="385000"/>
  </r>
  <r>
    <x v="123"/>
    <x v="1"/>
    <x v="3"/>
    <x v="3"/>
    <x v="1"/>
    <n v="6"/>
    <n v="25000"/>
    <n v="150000"/>
    <n v="125000"/>
  </r>
  <r>
    <x v="124"/>
    <x v="4"/>
    <x v="1"/>
    <x v="1"/>
    <x v="3"/>
    <n v="4"/>
    <n v="45000"/>
    <n v="180000"/>
    <n v="135000"/>
  </r>
  <r>
    <x v="125"/>
    <x v="3"/>
    <x v="0"/>
    <x v="4"/>
    <x v="3"/>
    <n v="3"/>
    <n v="60000"/>
    <n v="180000"/>
    <n v="120000"/>
  </r>
  <r>
    <x v="126"/>
    <x v="4"/>
    <x v="3"/>
    <x v="3"/>
    <x v="0"/>
    <n v="7"/>
    <n v="25000"/>
    <n v="175000"/>
    <n v="150000"/>
  </r>
  <r>
    <x v="127"/>
    <x v="0"/>
    <x v="3"/>
    <x v="3"/>
    <x v="1"/>
    <n v="8"/>
    <n v="25000"/>
    <n v="200000"/>
    <n v="175000"/>
  </r>
  <r>
    <x v="128"/>
    <x v="0"/>
    <x v="3"/>
    <x v="3"/>
    <x v="3"/>
    <n v="2"/>
    <n v="25000"/>
    <n v="50000"/>
    <n v="25000"/>
  </r>
  <r>
    <x v="129"/>
    <x v="0"/>
    <x v="3"/>
    <x v="3"/>
    <x v="0"/>
    <n v="8"/>
    <n v="25000"/>
    <n v="200000"/>
    <n v="175000"/>
  </r>
  <r>
    <x v="130"/>
    <x v="0"/>
    <x v="0"/>
    <x v="4"/>
    <x v="1"/>
    <n v="8"/>
    <n v="60000"/>
    <n v="480000"/>
    <n v="420000"/>
  </r>
  <r>
    <x v="131"/>
    <x v="3"/>
    <x v="0"/>
    <x v="4"/>
    <x v="1"/>
    <n v="5"/>
    <n v="60000"/>
    <n v="300000"/>
    <n v="240000"/>
  </r>
  <r>
    <x v="132"/>
    <x v="0"/>
    <x v="3"/>
    <x v="3"/>
    <x v="1"/>
    <n v="5"/>
    <n v="25000"/>
    <n v="125000"/>
    <n v="100000"/>
  </r>
  <r>
    <x v="133"/>
    <x v="3"/>
    <x v="1"/>
    <x v="1"/>
    <x v="3"/>
    <n v="5"/>
    <n v="45000"/>
    <n v="225000"/>
    <n v="180000"/>
  </r>
  <r>
    <x v="134"/>
    <x v="4"/>
    <x v="1"/>
    <x v="1"/>
    <x v="0"/>
    <n v="8"/>
    <n v="45000"/>
    <n v="360000"/>
    <n v="315000"/>
  </r>
  <r>
    <x v="135"/>
    <x v="2"/>
    <x v="3"/>
    <x v="3"/>
    <x v="0"/>
    <n v="8"/>
    <n v="25000"/>
    <n v="200000"/>
    <n v="175000"/>
  </r>
  <r>
    <x v="136"/>
    <x v="2"/>
    <x v="0"/>
    <x v="0"/>
    <x v="0"/>
    <n v="5"/>
    <n v="70000"/>
    <n v="350000"/>
    <n v="280000"/>
  </r>
  <r>
    <x v="137"/>
    <x v="0"/>
    <x v="1"/>
    <x v="6"/>
    <x v="4"/>
    <n v="7"/>
    <n v="55000"/>
    <n v="385000"/>
    <n v="330000"/>
  </r>
  <r>
    <x v="138"/>
    <x v="2"/>
    <x v="1"/>
    <x v="6"/>
    <x v="3"/>
    <n v="7"/>
    <n v="55000"/>
    <n v="385000"/>
    <n v="330000"/>
  </r>
  <r>
    <x v="139"/>
    <x v="2"/>
    <x v="0"/>
    <x v="0"/>
    <x v="3"/>
    <n v="3"/>
    <n v="70000"/>
    <n v="210000"/>
    <n v="140000"/>
  </r>
  <r>
    <x v="140"/>
    <x v="1"/>
    <x v="0"/>
    <x v="0"/>
    <x v="4"/>
    <n v="7"/>
    <n v="70000"/>
    <n v="490000"/>
    <n v="420000"/>
  </r>
  <r>
    <x v="141"/>
    <x v="3"/>
    <x v="3"/>
    <x v="3"/>
    <x v="3"/>
    <n v="6"/>
    <n v="25000"/>
    <n v="150000"/>
    <n v="125000"/>
  </r>
  <r>
    <x v="142"/>
    <x v="1"/>
    <x v="0"/>
    <x v="4"/>
    <x v="2"/>
    <n v="4"/>
    <n v="60000"/>
    <n v="240000"/>
    <n v="180000"/>
  </r>
  <r>
    <x v="143"/>
    <x v="1"/>
    <x v="3"/>
    <x v="3"/>
    <x v="3"/>
    <n v="4"/>
    <n v="25000"/>
    <n v="100000"/>
    <n v="75000"/>
  </r>
  <r>
    <x v="144"/>
    <x v="1"/>
    <x v="2"/>
    <x v="2"/>
    <x v="0"/>
    <n v="7"/>
    <n v="40000"/>
    <n v="280000"/>
    <n v="240000"/>
  </r>
  <r>
    <x v="145"/>
    <x v="4"/>
    <x v="3"/>
    <x v="3"/>
    <x v="4"/>
    <n v="5"/>
    <n v="25000"/>
    <n v="125000"/>
    <n v="100000"/>
  </r>
  <r>
    <x v="146"/>
    <x v="4"/>
    <x v="0"/>
    <x v="0"/>
    <x v="0"/>
    <n v="2"/>
    <n v="70000"/>
    <n v="140000"/>
    <n v="70000"/>
  </r>
  <r>
    <x v="147"/>
    <x v="4"/>
    <x v="3"/>
    <x v="3"/>
    <x v="2"/>
    <n v="5"/>
    <n v="25000"/>
    <n v="125000"/>
    <n v="100000"/>
  </r>
  <r>
    <x v="148"/>
    <x v="1"/>
    <x v="3"/>
    <x v="3"/>
    <x v="3"/>
    <n v="8"/>
    <n v="25000"/>
    <n v="200000"/>
    <n v="175000"/>
  </r>
  <r>
    <x v="149"/>
    <x v="0"/>
    <x v="0"/>
    <x v="4"/>
    <x v="4"/>
    <n v="7"/>
    <n v="60000"/>
    <n v="420000"/>
    <n v="36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B2DAD1-C00C-4596-8C8E-838311B6BDD4}"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1:H7" firstHeaderRow="1" firstDataRow="1" firstDataCol="1"/>
  <pivotFields count="10">
    <pivotField numFmtId="14"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items count="5">
        <item x="0"/>
        <item x="2"/>
        <item x="1"/>
        <item x="3"/>
        <item t="default"/>
      </items>
    </pivotField>
    <pivotField showAll="0"/>
    <pivotField showAll="0"/>
    <pivotField showAll="0"/>
    <pivotField showAll="0"/>
    <pivotField dataField="1" numFmtId="164" showAll="0"/>
    <pivotField numFmtId="164" showAll="0"/>
    <pivotField axis="axisRow" showAll="0" defaultSubtotal="0">
      <items count="14">
        <item x="0"/>
        <item x="1"/>
        <item x="2"/>
        <item x="3"/>
        <item x="4"/>
        <item x="5"/>
        <item x="6"/>
        <item x="7"/>
        <item x="8"/>
        <item x="9"/>
        <item x="10"/>
        <item x="11"/>
        <item x="12"/>
        <item x="13"/>
      </items>
    </pivotField>
  </pivotFields>
  <rowFields count="1">
    <field x="9"/>
  </rowFields>
  <rowItems count="6">
    <i>
      <x v="1"/>
    </i>
    <i>
      <x v="2"/>
    </i>
    <i>
      <x v="3"/>
    </i>
    <i>
      <x v="4"/>
    </i>
    <i>
      <x v="5"/>
    </i>
    <i t="grand">
      <x/>
    </i>
  </rowItems>
  <colItems count="1">
    <i/>
  </colItems>
  <dataFields count="1">
    <dataField name="Sum of Total sales" fld="7" baseField="0" baseItem="0" numFmtId="164"/>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FDFD77-D079-416B-9F7A-CAF43B32D187}" name="Brand"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B6" firstHeaderRow="1" firstDataRow="1" firstDataCol="1"/>
  <pivotFields count="10">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axis="axisRow" showAll="0">
      <items count="5">
        <item x="0"/>
        <item x="2"/>
        <item x="1"/>
        <item x="3"/>
        <item t="default"/>
      </items>
    </pivotField>
    <pivotField showAll="0"/>
    <pivotField showAll="0"/>
    <pivotField showAll="0"/>
    <pivotField showAll="0"/>
    <pivotField dataField="1" showAll="0"/>
    <pivotField numFmtId="164" showAll="0"/>
    <pivotField showAll="0">
      <items count="15">
        <item h="1" x="0"/>
        <item h="1" x="1"/>
        <item h="1" x="2"/>
        <item h="1" x="3"/>
        <item h="1" x="4"/>
        <item x="5"/>
        <item h="1" x="6"/>
        <item h="1" x="7"/>
        <item h="1" x="8"/>
        <item h="1" x="9"/>
        <item h="1" x="10"/>
        <item h="1" x="11"/>
        <item h="1" x="12"/>
        <item h="1" x="13"/>
        <item t="default"/>
      </items>
    </pivotField>
  </pivotFields>
  <rowFields count="1">
    <field x="2"/>
  </rowFields>
  <rowItems count="5">
    <i>
      <x/>
    </i>
    <i>
      <x v="1"/>
    </i>
    <i>
      <x v="2"/>
    </i>
    <i>
      <x v="3"/>
    </i>
    <i t="grand">
      <x/>
    </i>
  </rowItems>
  <colItems count="1">
    <i/>
  </colItems>
  <dataFields count="1">
    <dataField name="Sum of Total sales" fld="7" baseField="2" baseItem="0" numFmtId="165"/>
  </dataFields>
  <formats count="2">
    <format dxfId="1">
      <pivotArea collapsedLevelsAreSubtotals="1" fieldPosition="0">
        <references count="1">
          <reference field="2" count="1">
            <x v="0"/>
          </reference>
        </references>
      </pivotArea>
    </format>
    <format dxfId="0">
      <pivotArea outline="0" fieldPosition="0">
        <references count="1">
          <reference field="4294967294" count="1">
            <x v="0"/>
          </reference>
        </references>
      </pivotArea>
    </format>
  </formats>
  <chartFormats count="7">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2" count="1" selected="0">
            <x v="0"/>
          </reference>
        </references>
      </pivotArea>
    </chartFormat>
    <chartFormat chart="17" format="8">
      <pivotArea type="data" outline="0" fieldPosition="0">
        <references count="2">
          <reference field="4294967294" count="1" selected="0">
            <x v="0"/>
          </reference>
          <reference field="2" count="1" selected="0">
            <x v="1"/>
          </reference>
        </references>
      </pivotArea>
    </chartFormat>
    <chartFormat chart="17" format="9">
      <pivotArea type="data" outline="0" fieldPosition="0">
        <references count="2">
          <reference field="4294967294" count="1" selected="0">
            <x v="0"/>
          </reference>
          <reference field="2" count="1" selected="0">
            <x v="2"/>
          </reference>
        </references>
      </pivotArea>
    </chartFormat>
    <chartFormat chart="17"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DF71F8-EF2B-4792-A4D0-90B704A4190E}" name="PivotTable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1:E7" firstHeaderRow="1" firstDataRow="1" firstDataCol="1"/>
  <pivotFields count="10">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items count="6">
        <item x="0"/>
        <item x="2"/>
        <item x="3"/>
        <item x="4"/>
        <item x="1"/>
        <item t="default"/>
      </items>
    </pivotField>
    <pivotField showAll="0">
      <items count="5">
        <item x="0"/>
        <item x="2"/>
        <item x="1"/>
        <item x="3"/>
        <item t="default"/>
      </items>
    </pivotField>
    <pivotField showAll="0">
      <items count="8">
        <item x="5"/>
        <item x="2"/>
        <item x="4"/>
        <item x="0"/>
        <item x="1"/>
        <item x="6"/>
        <item x="3"/>
        <item t="default"/>
      </items>
    </pivotField>
    <pivotField axis="axisRow" showAll="0">
      <items count="6">
        <item x="4"/>
        <item x="3"/>
        <item x="1"/>
        <item x="0"/>
        <item x="2"/>
        <item t="default"/>
      </items>
    </pivotField>
    <pivotField showAll="0"/>
    <pivotField showAll="0"/>
    <pivotField dataField="1" showAll="0"/>
    <pivotField numFmtId="164" showAll="0"/>
    <pivotField showAll="0">
      <items count="15">
        <item h="1" x="0"/>
        <item h="1" x="1"/>
        <item h="1" x="2"/>
        <item h="1" x="3"/>
        <item h="1" x="4"/>
        <item x="5"/>
        <item h="1" x="6"/>
        <item h="1" x="7"/>
        <item h="1" x="8"/>
        <item h="1" x="9"/>
        <item h="1" x="10"/>
        <item h="1" x="11"/>
        <item h="1" x="12"/>
        <item h="1" x="13"/>
        <item t="default"/>
      </items>
    </pivotField>
  </pivotFields>
  <rowFields count="1">
    <field x="4"/>
  </rowFields>
  <rowItems count="6">
    <i>
      <x/>
    </i>
    <i>
      <x v="1"/>
    </i>
    <i>
      <x v="2"/>
    </i>
    <i>
      <x v="3"/>
    </i>
    <i>
      <x v="4"/>
    </i>
    <i t="grand">
      <x/>
    </i>
  </rowItems>
  <colItems count="1">
    <i/>
  </colItems>
  <dataFields count="1">
    <dataField name="Sum of Total sales" fld="7" baseField="2" baseItem="0" numFmtId="165"/>
  </dataFields>
  <formats count="1">
    <format dxfId="2">
      <pivotArea outline="0" fieldPosition="0">
        <references count="1">
          <reference field="4294967294" count="1">
            <x v="0"/>
          </reference>
        </references>
      </pivotArea>
    </format>
  </format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22DA19-9EE7-4B3B-83D2-55B6C0AD39D3}" name="PivotTable7"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0:B16" firstHeaderRow="1" firstDataRow="1" firstDataCol="1"/>
  <pivotFields count="10">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axis="axisRow" showAll="0">
      <items count="6">
        <item x="0"/>
        <item x="2"/>
        <item x="3"/>
        <item x="4"/>
        <item x="1"/>
        <item t="default"/>
      </items>
    </pivotField>
    <pivotField showAll="0">
      <items count="5">
        <item x="0"/>
        <item x="2"/>
        <item x="1"/>
        <item x="3"/>
        <item t="default"/>
      </items>
    </pivotField>
    <pivotField showAll="0"/>
    <pivotField showAll="0"/>
    <pivotField showAll="0"/>
    <pivotField showAll="0"/>
    <pivotField dataField="1" showAll="0"/>
    <pivotField numFmtId="164" showAll="0"/>
    <pivotField showAll="0">
      <items count="15">
        <item h="1" x="0"/>
        <item h="1" x="1"/>
        <item h="1" x="2"/>
        <item h="1" x="3"/>
        <item h="1" x="4"/>
        <item x="5"/>
        <item h="1" x="6"/>
        <item h="1" x="7"/>
        <item h="1" x="8"/>
        <item h="1" x="9"/>
        <item h="1" x="10"/>
        <item h="1" x="11"/>
        <item h="1" x="12"/>
        <item h="1" x="13"/>
        <item t="default"/>
      </items>
    </pivotField>
  </pivotFields>
  <rowFields count="1">
    <field x="1"/>
  </rowFields>
  <rowItems count="6">
    <i>
      <x/>
    </i>
    <i>
      <x v="1"/>
    </i>
    <i>
      <x v="2"/>
    </i>
    <i>
      <x v="3"/>
    </i>
    <i>
      <x v="4"/>
    </i>
    <i t="grand">
      <x/>
    </i>
  </rowItems>
  <colItems count="1">
    <i/>
  </colItems>
  <dataFields count="1">
    <dataField name="Sum of Total sales" fld="7" baseField="2" baseItem="0" numFmtId="165"/>
  </dataFields>
  <formats count="1">
    <format dxfId="3">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BDE80906-1ABD-4C20-9959-45C2EF56E57D}" sourceName="Brand">
  <pivotTables>
    <pivotTable tabId="2" name="Brand"/>
    <pivotTable tabId="2" name="PivotTable1"/>
    <pivotTable tabId="2" name="PivotTable5"/>
    <pivotTable tabId="2" name="PivotTable7"/>
  </pivotTables>
  <data>
    <tabular pivotCacheId="1009618662">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3E655FE-F18B-49F2-9F16-56A9FB03DD85}" sourceName="City">
  <pivotTables>
    <pivotTable tabId="2" name="PivotTable5"/>
  </pivotTables>
  <data>
    <tabular pivotCacheId="1009618662">
      <items count="5">
        <i x="0" s="1"/>
        <i x="2" s="1"/>
        <i x="3"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C78EFD53-2FE0-407C-B609-796114EE3CFF}" sourceName="Salesperson">
  <pivotTables>
    <pivotTable tabId="2" name="PivotTable5"/>
  </pivotTables>
  <data>
    <tabular pivotCacheId="1009618662">
      <items count="5">
        <i x="4" s="1"/>
        <i x="3" s="1"/>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8BCAFCA2-3B1F-48CF-B7F1-BCD99721A7F5}" sourceName="Model">
  <pivotTables>
    <pivotTable tabId="2" name="PivotTable5"/>
  </pivotTables>
  <data>
    <tabular pivotCacheId="1009618662">
      <items count="7">
        <i x="5" s="1"/>
        <i x="2" s="1"/>
        <i x="4" s="1"/>
        <i x="0" s="1"/>
        <i x="1" s="1"/>
        <i x="6"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2191D71B-DA11-4B29-856E-7361F57DBF42}" cache="Slicer_Brand" caption="Brand" showCaption="0" rowHeight="234950"/>
  <slicer name="City" xr10:uid="{6CA02A54-18C5-4BCB-AB6B-296DDCD7EEF0}" cache="Slicer_City" caption="C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AE7C8CCB-EA87-47E1-8E26-7D4FCE9B4246}" cache="Slicer_Brand" caption="Brand" showCaption="0" rowHeight="234950"/>
  <slicer name="City 1" xr10:uid="{6BA0DF4A-4045-42EA-B079-FA639C05B8FB}" cache="Slicer_City" caption="City" rowHeight="234950"/>
  <slicer name="Salesperson 1" xr10:uid="{CA3FDEFD-0486-4605-AF14-7431F7038495}" cache="Slicer_Salesperson" caption="Salesperson" rowHeight="234950"/>
  <slicer name="Model" xr10:uid="{365B54ED-8A8E-4A9B-9038-3CF8414CB2E2}" cache="Slicer_Model" caption="Model"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D58DF2-DD54-4F65-991A-3688DA7FA35F}" name="Table1" displayName="Table1" ref="A1:I151" totalsRowShown="0">
  <autoFilter ref="A1:I151" xr:uid="{C3D58DF2-DD54-4F65-991A-3688DA7FA35F}"/>
  <tableColumns count="9">
    <tableColumn id="1" xr3:uid="{5A94783E-7A21-4837-98A7-9E71B4B09EDD}" name="Date" dataDxfId="6"/>
    <tableColumn id="2" xr3:uid="{B5C18D33-21ED-4923-97B5-33AED2B51205}" name="City"/>
    <tableColumn id="3" xr3:uid="{D7DE563C-848F-46B0-B620-5DEBF027E3BA}" name="Brand"/>
    <tableColumn id="4" xr3:uid="{94A10C01-CA0F-4DEA-A1AF-1074512A40D4}" name="Model"/>
    <tableColumn id="5" xr3:uid="{E2498179-E0A7-44C6-8087-C4E02BADEA02}" name="Salesperson"/>
    <tableColumn id="6" xr3:uid="{EE06D9DC-9925-4C04-A984-F1DCC3661539}" name="Units_Sold"/>
    <tableColumn id="7" xr3:uid="{DA7C807B-21EF-4EEC-BB62-7DFC2A03E496}" name="Price"/>
    <tableColumn id="8" xr3:uid="{144BDB8C-5DFB-488E-A143-42D9D969167F}" name="Total sales" dataDxfId="5">
      <calculatedColumnFormula>Table1[[#This Row],[Units_Sold]]*Table1[[#This Row],[Price]]</calculatedColumnFormula>
    </tableColumn>
    <tableColumn id="9" xr3:uid="{3FEF8ED2-5C69-424C-B0AA-2E8AD8DF7D54}" name="Profit" dataDxfId="4">
      <calculatedColumnFormula>Table1[[#This Row],[Total sales]]-Table1[[#This Row],[Price]]</calculatedColumnFormula>
    </tableColumn>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1"/>
  <sheetViews>
    <sheetView zoomScale="130" zoomScaleNormal="130" workbookViewId="0">
      <selection activeCell="L6" sqref="L6"/>
    </sheetView>
  </sheetViews>
  <sheetFormatPr defaultRowHeight="14.4" x14ac:dyDescent="0.3"/>
  <cols>
    <col min="1" max="1" width="10.33203125" bestFit="1" customWidth="1"/>
    <col min="3" max="3" width="8.109375" bestFit="1" customWidth="1"/>
    <col min="5" max="5" width="12.88671875" customWidth="1"/>
    <col min="6" max="6" width="11.88671875" customWidth="1"/>
    <col min="8" max="9" width="11.88671875" bestFit="1" customWidth="1"/>
    <col min="10" max="10" width="14.44140625" bestFit="1" customWidth="1"/>
    <col min="12" max="12" width="12.88671875" bestFit="1" customWidth="1"/>
  </cols>
  <sheetData>
    <row r="1" spans="1:12" x14ac:dyDescent="0.3">
      <c r="A1" s="6" t="s">
        <v>0</v>
      </c>
      <c r="B1" t="s">
        <v>1</v>
      </c>
      <c r="C1" t="s">
        <v>2</v>
      </c>
      <c r="D1" t="s">
        <v>3</v>
      </c>
      <c r="E1" t="s">
        <v>4</v>
      </c>
      <c r="F1" t="s">
        <v>5</v>
      </c>
      <c r="G1" t="s">
        <v>6</v>
      </c>
      <c r="H1" s="3" t="s">
        <v>28</v>
      </c>
      <c r="I1" t="s">
        <v>40</v>
      </c>
      <c r="L1" s="9" t="s">
        <v>37</v>
      </c>
    </row>
    <row r="2" spans="1:12" x14ac:dyDescent="0.3">
      <c r="A2" s="5">
        <v>45292</v>
      </c>
      <c r="B2" t="s">
        <v>7</v>
      </c>
      <c r="C2" t="s">
        <v>8</v>
      </c>
      <c r="D2" t="s">
        <v>9</v>
      </c>
      <c r="E2" t="s">
        <v>10</v>
      </c>
      <c r="F2">
        <v>8</v>
      </c>
      <c r="G2">
        <v>70000</v>
      </c>
      <c r="H2" s="3">
        <f>Table1[[#This Row],[Units_Sold]]*Table1[[#This Row],[Price]]</f>
        <v>560000</v>
      </c>
      <c r="I2" s="3">
        <f>Table1[[#This Row],[Total sales]]-Table1[[#This Row],[Price]]</f>
        <v>490000</v>
      </c>
      <c r="J2" s="7"/>
      <c r="L2" s="7">
        <f>SUM(Table1[Total sales])</f>
        <v>35575000</v>
      </c>
    </row>
    <row r="3" spans="1:12" x14ac:dyDescent="0.3">
      <c r="A3" s="5">
        <v>45293</v>
      </c>
      <c r="B3" t="s">
        <v>7</v>
      </c>
      <c r="C3" t="s">
        <v>11</v>
      </c>
      <c r="D3" t="s">
        <v>12</v>
      </c>
      <c r="E3" t="s">
        <v>13</v>
      </c>
      <c r="F3">
        <v>8</v>
      </c>
      <c r="G3">
        <v>45000</v>
      </c>
      <c r="H3" s="3">
        <f>Table1[[#This Row],[Units_Sold]]*Table1[[#This Row],[Price]]</f>
        <v>360000</v>
      </c>
      <c r="I3" s="3">
        <f>Table1[[#This Row],[Total sales]]-Table1[[#This Row],[Price]]</f>
        <v>315000</v>
      </c>
      <c r="L3" t="s">
        <v>38</v>
      </c>
    </row>
    <row r="4" spans="1:12" x14ac:dyDescent="0.3">
      <c r="A4" s="5">
        <v>45294</v>
      </c>
      <c r="B4" t="s">
        <v>7</v>
      </c>
      <c r="C4" t="s">
        <v>14</v>
      </c>
      <c r="D4" t="s">
        <v>15</v>
      </c>
      <c r="E4" t="s">
        <v>16</v>
      </c>
      <c r="F4">
        <v>2</v>
      </c>
      <c r="G4">
        <v>40000</v>
      </c>
      <c r="H4" s="3">
        <f>Table1[[#This Row],[Units_Sold]]*Table1[[#This Row],[Price]]</f>
        <v>80000</v>
      </c>
      <c r="I4" s="3">
        <f>Table1[[#This Row],[Total sales]]-Table1[[#This Row],[Price]]</f>
        <v>40000</v>
      </c>
      <c r="J4" s="8"/>
      <c r="L4" s="8">
        <f>SUM(Table1[Units_Sold])</f>
        <v>762</v>
      </c>
    </row>
    <row r="5" spans="1:12" x14ac:dyDescent="0.3">
      <c r="A5" s="5">
        <v>45295</v>
      </c>
      <c r="B5" t="s">
        <v>17</v>
      </c>
      <c r="C5" t="s">
        <v>14</v>
      </c>
      <c r="D5" t="s">
        <v>15</v>
      </c>
      <c r="E5" t="s">
        <v>18</v>
      </c>
      <c r="F5">
        <v>6</v>
      </c>
      <c r="G5">
        <v>40000</v>
      </c>
      <c r="H5" s="3">
        <f>Table1[[#This Row],[Units_Sold]]*Table1[[#This Row],[Price]]</f>
        <v>240000</v>
      </c>
      <c r="I5" s="3">
        <f>Table1[[#This Row],[Total sales]]-Table1[[#This Row],[Price]]</f>
        <v>200000</v>
      </c>
      <c r="L5" t="s">
        <v>39</v>
      </c>
    </row>
    <row r="6" spans="1:12" x14ac:dyDescent="0.3">
      <c r="A6" s="5">
        <v>45296</v>
      </c>
      <c r="B6" t="s">
        <v>7</v>
      </c>
      <c r="C6" t="s">
        <v>19</v>
      </c>
      <c r="D6" t="s">
        <v>20</v>
      </c>
      <c r="E6" t="s">
        <v>10</v>
      </c>
      <c r="F6">
        <v>3</v>
      </c>
      <c r="G6">
        <v>25000</v>
      </c>
      <c r="H6" s="3">
        <f>Table1[[#This Row],[Units_Sold]]*Table1[[#This Row],[Price]]</f>
        <v>75000</v>
      </c>
      <c r="I6" s="3">
        <f>Table1[[#This Row],[Total sales]]-Table1[[#This Row],[Price]]</f>
        <v>50000</v>
      </c>
      <c r="J6" s="6"/>
      <c r="L6" s="10">
        <f>AVERAGE(Table1[Total sales])</f>
        <v>237166.66666666666</v>
      </c>
    </row>
    <row r="7" spans="1:12" x14ac:dyDescent="0.3">
      <c r="A7" s="5">
        <v>45297</v>
      </c>
      <c r="B7" t="s">
        <v>21</v>
      </c>
      <c r="C7" t="s">
        <v>8</v>
      </c>
      <c r="D7" t="s">
        <v>9</v>
      </c>
      <c r="E7" t="s">
        <v>16</v>
      </c>
      <c r="F7">
        <v>7</v>
      </c>
      <c r="G7">
        <v>70000</v>
      </c>
      <c r="H7" s="3">
        <f>Table1[[#This Row],[Units_Sold]]*Table1[[#This Row],[Price]]</f>
        <v>490000</v>
      </c>
      <c r="I7" s="3">
        <f>Table1[[#This Row],[Total sales]]-Table1[[#This Row],[Price]]</f>
        <v>420000</v>
      </c>
      <c r="L7" t="s">
        <v>40</v>
      </c>
    </row>
    <row r="8" spans="1:12" x14ac:dyDescent="0.3">
      <c r="A8" s="5">
        <v>45298</v>
      </c>
      <c r="B8" t="s">
        <v>7</v>
      </c>
      <c r="C8" t="s">
        <v>11</v>
      </c>
      <c r="D8" t="s">
        <v>12</v>
      </c>
      <c r="E8" t="s">
        <v>18</v>
      </c>
      <c r="F8">
        <v>4</v>
      </c>
      <c r="G8">
        <v>45000</v>
      </c>
      <c r="H8" s="3">
        <f>Table1[[#This Row],[Units_Sold]]*Table1[[#This Row],[Price]]</f>
        <v>180000</v>
      </c>
      <c r="I8" s="3">
        <f>Table1[[#This Row],[Total sales]]-Table1[[#This Row],[Price]]</f>
        <v>135000</v>
      </c>
      <c r="J8" s="7"/>
      <c r="L8" s="7">
        <f>SUM(Table1[Profit])</f>
        <v>28647000</v>
      </c>
    </row>
    <row r="9" spans="1:12" x14ac:dyDescent="0.3">
      <c r="A9" s="5">
        <v>45299</v>
      </c>
      <c r="B9" t="s">
        <v>7</v>
      </c>
      <c r="C9" t="s">
        <v>8</v>
      </c>
      <c r="D9" t="s">
        <v>22</v>
      </c>
      <c r="E9" t="s">
        <v>16</v>
      </c>
      <c r="F9">
        <v>2</v>
      </c>
      <c r="G9">
        <v>60000</v>
      </c>
      <c r="H9" s="3">
        <f>Table1[[#This Row],[Units_Sold]]*Table1[[#This Row],[Price]]</f>
        <v>120000</v>
      </c>
      <c r="I9" s="3">
        <f>Table1[[#This Row],[Total sales]]-Table1[[#This Row],[Price]]</f>
        <v>60000</v>
      </c>
    </row>
    <row r="10" spans="1:12" x14ac:dyDescent="0.3">
      <c r="A10" s="5">
        <v>45300</v>
      </c>
      <c r="B10" t="s">
        <v>21</v>
      </c>
      <c r="C10" t="s">
        <v>19</v>
      </c>
      <c r="D10" t="s">
        <v>20</v>
      </c>
      <c r="E10" t="s">
        <v>16</v>
      </c>
      <c r="F10">
        <v>5</v>
      </c>
      <c r="G10">
        <v>25000</v>
      </c>
      <c r="H10" s="3">
        <f>Table1[[#This Row],[Units_Sold]]*Table1[[#This Row],[Price]]</f>
        <v>125000</v>
      </c>
      <c r="I10" s="3">
        <f>Table1[[#This Row],[Total sales]]-Table1[[#This Row],[Price]]</f>
        <v>100000</v>
      </c>
    </row>
    <row r="11" spans="1:12" x14ac:dyDescent="0.3">
      <c r="A11" s="5">
        <v>45301</v>
      </c>
      <c r="B11" t="s">
        <v>21</v>
      </c>
      <c r="C11" t="s">
        <v>14</v>
      </c>
      <c r="D11" t="s">
        <v>23</v>
      </c>
      <c r="E11" t="s">
        <v>18</v>
      </c>
      <c r="F11">
        <v>3</v>
      </c>
      <c r="G11">
        <v>38000</v>
      </c>
      <c r="H11" s="3">
        <f>Table1[[#This Row],[Units_Sold]]*Table1[[#This Row],[Price]]</f>
        <v>114000</v>
      </c>
      <c r="I11" s="3">
        <f>Table1[[#This Row],[Total sales]]-Table1[[#This Row],[Price]]</f>
        <v>76000</v>
      </c>
    </row>
    <row r="12" spans="1:12" x14ac:dyDescent="0.3">
      <c r="A12" s="5">
        <v>45302</v>
      </c>
      <c r="B12" t="s">
        <v>24</v>
      </c>
      <c r="C12" t="s">
        <v>8</v>
      </c>
      <c r="D12" t="s">
        <v>9</v>
      </c>
      <c r="E12" t="s">
        <v>13</v>
      </c>
      <c r="F12">
        <v>3</v>
      </c>
      <c r="G12">
        <v>70000</v>
      </c>
      <c r="H12" s="3">
        <f>Table1[[#This Row],[Units_Sold]]*Table1[[#This Row],[Price]]</f>
        <v>210000</v>
      </c>
      <c r="I12" s="3">
        <f>Table1[[#This Row],[Total sales]]-Table1[[#This Row],[Price]]</f>
        <v>140000</v>
      </c>
    </row>
    <row r="13" spans="1:12" x14ac:dyDescent="0.3">
      <c r="A13" s="5">
        <v>45303</v>
      </c>
      <c r="B13" t="s">
        <v>7</v>
      </c>
      <c r="C13" t="s">
        <v>11</v>
      </c>
      <c r="D13" t="s">
        <v>25</v>
      </c>
      <c r="E13" t="s">
        <v>10</v>
      </c>
      <c r="F13">
        <v>7</v>
      </c>
      <c r="G13">
        <v>55000</v>
      </c>
      <c r="H13" s="3">
        <f>Table1[[#This Row],[Units_Sold]]*Table1[[#This Row],[Price]]</f>
        <v>385000</v>
      </c>
      <c r="I13" s="3">
        <f>Table1[[#This Row],[Total sales]]-Table1[[#This Row],[Price]]</f>
        <v>330000</v>
      </c>
    </row>
    <row r="14" spans="1:12" x14ac:dyDescent="0.3">
      <c r="A14" s="5">
        <v>45304</v>
      </c>
      <c r="B14" t="s">
        <v>17</v>
      </c>
      <c r="C14" t="s">
        <v>8</v>
      </c>
      <c r="D14" t="s">
        <v>9</v>
      </c>
      <c r="E14" t="s">
        <v>18</v>
      </c>
      <c r="F14">
        <v>5</v>
      </c>
      <c r="G14">
        <v>70000</v>
      </c>
      <c r="H14" s="3">
        <f>Table1[[#This Row],[Units_Sold]]*Table1[[#This Row],[Price]]</f>
        <v>350000</v>
      </c>
      <c r="I14" s="3">
        <f>Table1[[#This Row],[Total sales]]-Table1[[#This Row],[Price]]</f>
        <v>280000</v>
      </c>
    </row>
    <row r="15" spans="1:12" x14ac:dyDescent="0.3">
      <c r="A15" s="5">
        <v>45305</v>
      </c>
      <c r="B15" t="s">
        <v>21</v>
      </c>
      <c r="C15" t="s">
        <v>8</v>
      </c>
      <c r="D15" t="s">
        <v>22</v>
      </c>
      <c r="E15" t="s">
        <v>13</v>
      </c>
      <c r="F15">
        <v>3</v>
      </c>
      <c r="G15">
        <v>60000</v>
      </c>
      <c r="H15" s="3">
        <f>Table1[[#This Row],[Units_Sold]]*Table1[[#This Row],[Price]]</f>
        <v>180000</v>
      </c>
      <c r="I15" s="3">
        <f>Table1[[#This Row],[Total sales]]-Table1[[#This Row],[Price]]</f>
        <v>120000</v>
      </c>
    </row>
    <row r="16" spans="1:12" x14ac:dyDescent="0.3">
      <c r="A16" s="5">
        <v>45306</v>
      </c>
      <c r="B16" t="s">
        <v>26</v>
      </c>
      <c r="C16" t="s">
        <v>19</v>
      </c>
      <c r="D16" t="s">
        <v>20</v>
      </c>
      <c r="E16" t="s">
        <v>13</v>
      </c>
      <c r="F16">
        <v>4</v>
      </c>
      <c r="G16">
        <v>25000</v>
      </c>
      <c r="H16" s="3">
        <f>Table1[[#This Row],[Units_Sold]]*Table1[[#This Row],[Price]]</f>
        <v>100000</v>
      </c>
      <c r="I16" s="3">
        <f>Table1[[#This Row],[Total sales]]-Table1[[#This Row],[Price]]</f>
        <v>75000</v>
      </c>
    </row>
    <row r="17" spans="1:9" x14ac:dyDescent="0.3">
      <c r="A17" s="5">
        <v>45307</v>
      </c>
      <c r="B17" t="s">
        <v>26</v>
      </c>
      <c r="C17" t="s">
        <v>19</v>
      </c>
      <c r="D17" t="s">
        <v>20</v>
      </c>
      <c r="E17" t="s">
        <v>27</v>
      </c>
      <c r="F17">
        <v>5</v>
      </c>
      <c r="G17">
        <v>25000</v>
      </c>
      <c r="H17" s="3">
        <f>Table1[[#This Row],[Units_Sold]]*Table1[[#This Row],[Price]]</f>
        <v>125000</v>
      </c>
      <c r="I17" s="3">
        <f>Table1[[#This Row],[Total sales]]-Table1[[#This Row],[Price]]</f>
        <v>100000</v>
      </c>
    </row>
    <row r="18" spans="1:9" x14ac:dyDescent="0.3">
      <c r="A18" s="5">
        <v>45308</v>
      </c>
      <c r="B18" t="s">
        <v>24</v>
      </c>
      <c r="C18" t="s">
        <v>14</v>
      </c>
      <c r="D18" t="s">
        <v>15</v>
      </c>
      <c r="E18" t="s">
        <v>18</v>
      </c>
      <c r="F18">
        <v>5</v>
      </c>
      <c r="G18">
        <v>40000</v>
      </c>
      <c r="H18" s="3">
        <f>Table1[[#This Row],[Units_Sold]]*Table1[[#This Row],[Price]]</f>
        <v>200000</v>
      </c>
      <c r="I18" s="3">
        <f>Table1[[#This Row],[Total sales]]-Table1[[#This Row],[Price]]</f>
        <v>160000</v>
      </c>
    </row>
    <row r="19" spans="1:9" x14ac:dyDescent="0.3">
      <c r="A19" s="5">
        <v>45309</v>
      </c>
      <c r="B19" t="s">
        <v>26</v>
      </c>
      <c r="C19" t="s">
        <v>19</v>
      </c>
      <c r="D19" t="s">
        <v>20</v>
      </c>
      <c r="E19" t="s">
        <v>10</v>
      </c>
      <c r="F19">
        <v>7</v>
      </c>
      <c r="G19">
        <v>25000</v>
      </c>
      <c r="H19" s="3">
        <f>Table1[[#This Row],[Units_Sold]]*Table1[[#This Row],[Price]]</f>
        <v>175000</v>
      </c>
      <c r="I19" s="3">
        <f>Table1[[#This Row],[Total sales]]-Table1[[#This Row],[Price]]</f>
        <v>150000</v>
      </c>
    </row>
    <row r="20" spans="1:9" x14ac:dyDescent="0.3">
      <c r="A20" s="5">
        <v>45310</v>
      </c>
      <c r="B20" t="s">
        <v>26</v>
      </c>
      <c r="C20" t="s">
        <v>19</v>
      </c>
      <c r="D20" t="s">
        <v>20</v>
      </c>
      <c r="E20" t="s">
        <v>18</v>
      </c>
      <c r="F20">
        <v>2</v>
      </c>
      <c r="G20">
        <v>25000</v>
      </c>
      <c r="H20" s="3">
        <f>Table1[[#This Row],[Units_Sold]]*Table1[[#This Row],[Price]]</f>
        <v>50000</v>
      </c>
      <c r="I20" s="3">
        <f>Table1[[#This Row],[Total sales]]-Table1[[#This Row],[Price]]</f>
        <v>25000</v>
      </c>
    </row>
    <row r="21" spans="1:9" x14ac:dyDescent="0.3">
      <c r="A21" s="5">
        <v>45311</v>
      </c>
      <c r="B21" t="s">
        <v>21</v>
      </c>
      <c r="C21" t="s">
        <v>11</v>
      </c>
      <c r="D21" t="s">
        <v>25</v>
      </c>
      <c r="E21" t="s">
        <v>18</v>
      </c>
      <c r="F21">
        <v>7</v>
      </c>
      <c r="G21">
        <v>55000</v>
      </c>
      <c r="H21" s="3">
        <f>Table1[[#This Row],[Units_Sold]]*Table1[[#This Row],[Price]]</f>
        <v>385000</v>
      </c>
      <c r="I21" s="3">
        <f>Table1[[#This Row],[Total sales]]-Table1[[#This Row],[Price]]</f>
        <v>330000</v>
      </c>
    </row>
    <row r="22" spans="1:9" x14ac:dyDescent="0.3">
      <c r="A22" s="5">
        <v>45312</v>
      </c>
      <c r="B22" t="s">
        <v>17</v>
      </c>
      <c r="C22" t="s">
        <v>8</v>
      </c>
      <c r="D22" t="s">
        <v>22</v>
      </c>
      <c r="E22" t="s">
        <v>27</v>
      </c>
      <c r="F22">
        <v>3</v>
      </c>
      <c r="G22">
        <v>60000</v>
      </c>
      <c r="H22" s="3">
        <f>Table1[[#This Row],[Units_Sold]]*Table1[[#This Row],[Price]]</f>
        <v>180000</v>
      </c>
      <c r="I22" s="3">
        <f>Table1[[#This Row],[Total sales]]-Table1[[#This Row],[Price]]</f>
        <v>120000</v>
      </c>
    </row>
    <row r="23" spans="1:9" x14ac:dyDescent="0.3">
      <c r="A23" s="5">
        <v>45313</v>
      </c>
      <c r="B23" t="s">
        <v>17</v>
      </c>
      <c r="C23" t="s">
        <v>8</v>
      </c>
      <c r="D23" t="s">
        <v>9</v>
      </c>
      <c r="E23" t="s">
        <v>13</v>
      </c>
      <c r="F23">
        <v>6</v>
      </c>
      <c r="G23">
        <v>70000</v>
      </c>
      <c r="H23" s="3">
        <f>Table1[[#This Row],[Units_Sold]]*Table1[[#This Row],[Price]]</f>
        <v>420000</v>
      </c>
      <c r="I23" s="3">
        <f>Table1[[#This Row],[Total sales]]-Table1[[#This Row],[Price]]</f>
        <v>350000</v>
      </c>
    </row>
    <row r="24" spans="1:9" x14ac:dyDescent="0.3">
      <c r="A24" s="5">
        <v>45314</v>
      </c>
      <c r="B24" t="s">
        <v>7</v>
      </c>
      <c r="C24" t="s">
        <v>8</v>
      </c>
      <c r="D24" t="s">
        <v>22</v>
      </c>
      <c r="E24" t="s">
        <v>13</v>
      </c>
      <c r="F24">
        <v>6</v>
      </c>
      <c r="G24">
        <v>60000</v>
      </c>
      <c r="H24" s="3">
        <f>Table1[[#This Row],[Units_Sold]]*Table1[[#This Row],[Price]]</f>
        <v>360000</v>
      </c>
      <c r="I24" s="3">
        <f>Table1[[#This Row],[Total sales]]-Table1[[#This Row],[Price]]</f>
        <v>300000</v>
      </c>
    </row>
    <row r="25" spans="1:9" x14ac:dyDescent="0.3">
      <c r="A25" s="5">
        <v>45315</v>
      </c>
      <c r="B25" t="s">
        <v>24</v>
      </c>
      <c r="C25" t="s">
        <v>14</v>
      </c>
      <c r="D25" t="s">
        <v>15</v>
      </c>
      <c r="E25" t="s">
        <v>18</v>
      </c>
      <c r="F25">
        <v>2</v>
      </c>
      <c r="G25">
        <v>40000</v>
      </c>
      <c r="H25" s="3">
        <f>Table1[[#This Row],[Units_Sold]]*Table1[[#This Row],[Price]]</f>
        <v>80000</v>
      </c>
      <c r="I25" s="3">
        <f>Table1[[#This Row],[Total sales]]-Table1[[#This Row],[Price]]</f>
        <v>40000</v>
      </c>
    </row>
    <row r="26" spans="1:9" x14ac:dyDescent="0.3">
      <c r="A26" s="5">
        <v>45316</v>
      </c>
      <c r="B26" t="s">
        <v>21</v>
      </c>
      <c r="C26" t="s">
        <v>19</v>
      </c>
      <c r="D26" t="s">
        <v>20</v>
      </c>
      <c r="E26" t="s">
        <v>10</v>
      </c>
      <c r="F26">
        <v>5</v>
      </c>
      <c r="G26">
        <v>25000</v>
      </c>
      <c r="H26" s="3">
        <f>Table1[[#This Row],[Units_Sold]]*Table1[[#This Row],[Price]]</f>
        <v>125000</v>
      </c>
      <c r="I26" s="3">
        <f>Table1[[#This Row],[Total sales]]-Table1[[#This Row],[Price]]</f>
        <v>100000</v>
      </c>
    </row>
    <row r="27" spans="1:9" x14ac:dyDescent="0.3">
      <c r="A27" s="5">
        <v>45317</v>
      </c>
      <c r="B27" t="s">
        <v>17</v>
      </c>
      <c r="C27" t="s">
        <v>11</v>
      </c>
      <c r="D27" t="s">
        <v>12</v>
      </c>
      <c r="E27" t="s">
        <v>27</v>
      </c>
      <c r="F27">
        <v>3</v>
      </c>
      <c r="G27">
        <v>45000</v>
      </c>
      <c r="H27" s="3">
        <f>Table1[[#This Row],[Units_Sold]]*Table1[[#This Row],[Price]]</f>
        <v>135000</v>
      </c>
      <c r="I27" s="3">
        <f>Table1[[#This Row],[Total sales]]-Table1[[#This Row],[Price]]</f>
        <v>90000</v>
      </c>
    </row>
    <row r="28" spans="1:9" x14ac:dyDescent="0.3">
      <c r="A28" s="5">
        <v>45318</v>
      </c>
      <c r="B28" t="s">
        <v>7</v>
      </c>
      <c r="C28" t="s">
        <v>11</v>
      </c>
      <c r="D28" t="s">
        <v>25</v>
      </c>
      <c r="E28" t="s">
        <v>10</v>
      </c>
      <c r="F28">
        <v>4</v>
      </c>
      <c r="G28">
        <v>55000</v>
      </c>
      <c r="H28" s="3">
        <f>Table1[[#This Row],[Units_Sold]]*Table1[[#This Row],[Price]]</f>
        <v>220000</v>
      </c>
      <c r="I28" s="3">
        <f>Table1[[#This Row],[Total sales]]-Table1[[#This Row],[Price]]</f>
        <v>165000</v>
      </c>
    </row>
    <row r="29" spans="1:9" x14ac:dyDescent="0.3">
      <c r="A29" s="5">
        <v>45319</v>
      </c>
      <c r="B29" t="s">
        <v>21</v>
      </c>
      <c r="C29" t="s">
        <v>14</v>
      </c>
      <c r="D29" t="s">
        <v>15</v>
      </c>
      <c r="E29" t="s">
        <v>16</v>
      </c>
      <c r="F29">
        <v>3</v>
      </c>
      <c r="G29">
        <v>40000</v>
      </c>
      <c r="H29" s="3">
        <f>Table1[[#This Row],[Units_Sold]]*Table1[[#This Row],[Price]]</f>
        <v>120000</v>
      </c>
      <c r="I29" s="3">
        <f>Table1[[#This Row],[Total sales]]-Table1[[#This Row],[Price]]</f>
        <v>80000</v>
      </c>
    </row>
    <row r="30" spans="1:9" x14ac:dyDescent="0.3">
      <c r="A30" s="5">
        <v>45320</v>
      </c>
      <c r="B30" t="s">
        <v>7</v>
      </c>
      <c r="C30" t="s">
        <v>19</v>
      </c>
      <c r="D30" t="s">
        <v>20</v>
      </c>
      <c r="E30" t="s">
        <v>18</v>
      </c>
      <c r="F30">
        <v>6</v>
      </c>
      <c r="G30">
        <v>25000</v>
      </c>
      <c r="H30" s="3">
        <f>Table1[[#This Row],[Units_Sold]]*Table1[[#This Row],[Price]]</f>
        <v>150000</v>
      </c>
      <c r="I30" s="3">
        <f>Table1[[#This Row],[Total sales]]-Table1[[#This Row],[Price]]</f>
        <v>125000</v>
      </c>
    </row>
    <row r="31" spans="1:9" x14ac:dyDescent="0.3">
      <c r="A31" s="5">
        <v>45321</v>
      </c>
      <c r="B31" t="s">
        <v>21</v>
      </c>
      <c r="C31" t="s">
        <v>11</v>
      </c>
      <c r="D31" t="s">
        <v>12</v>
      </c>
      <c r="E31" t="s">
        <v>13</v>
      </c>
      <c r="F31">
        <v>5</v>
      </c>
      <c r="G31">
        <v>45000</v>
      </c>
      <c r="H31" s="3">
        <f>Table1[[#This Row],[Units_Sold]]*Table1[[#This Row],[Price]]</f>
        <v>225000</v>
      </c>
      <c r="I31" s="3">
        <f>Table1[[#This Row],[Total sales]]-Table1[[#This Row],[Price]]</f>
        <v>180000</v>
      </c>
    </row>
    <row r="32" spans="1:9" x14ac:dyDescent="0.3">
      <c r="A32" s="5">
        <v>45322</v>
      </c>
      <c r="B32" t="s">
        <v>24</v>
      </c>
      <c r="C32" t="s">
        <v>8</v>
      </c>
      <c r="D32" t="s">
        <v>9</v>
      </c>
      <c r="E32" t="s">
        <v>10</v>
      </c>
      <c r="F32">
        <v>8</v>
      </c>
      <c r="G32">
        <v>70000</v>
      </c>
      <c r="H32" s="3">
        <f>Table1[[#This Row],[Units_Sold]]*Table1[[#This Row],[Price]]</f>
        <v>560000</v>
      </c>
      <c r="I32" s="3">
        <f>Table1[[#This Row],[Total sales]]-Table1[[#This Row],[Price]]</f>
        <v>490000</v>
      </c>
    </row>
    <row r="33" spans="1:9" x14ac:dyDescent="0.3">
      <c r="A33" s="5">
        <v>45323</v>
      </c>
      <c r="B33" t="s">
        <v>24</v>
      </c>
      <c r="C33" t="s">
        <v>14</v>
      </c>
      <c r="D33" t="s">
        <v>23</v>
      </c>
      <c r="E33" t="s">
        <v>27</v>
      </c>
      <c r="F33">
        <v>2</v>
      </c>
      <c r="G33">
        <v>38000</v>
      </c>
      <c r="H33" s="3">
        <f>Table1[[#This Row],[Units_Sold]]*Table1[[#This Row],[Price]]</f>
        <v>76000</v>
      </c>
      <c r="I33" s="3">
        <f>Table1[[#This Row],[Total sales]]-Table1[[#This Row],[Price]]</f>
        <v>38000</v>
      </c>
    </row>
    <row r="34" spans="1:9" x14ac:dyDescent="0.3">
      <c r="A34" s="5">
        <v>45324</v>
      </c>
      <c r="B34" t="s">
        <v>21</v>
      </c>
      <c r="C34" t="s">
        <v>11</v>
      </c>
      <c r="D34" t="s">
        <v>25</v>
      </c>
      <c r="E34" t="s">
        <v>27</v>
      </c>
      <c r="F34">
        <v>3</v>
      </c>
      <c r="G34">
        <v>55000</v>
      </c>
      <c r="H34" s="3">
        <f>Table1[[#This Row],[Units_Sold]]*Table1[[#This Row],[Price]]</f>
        <v>165000</v>
      </c>
      <c r="I34" s="3">
        <f>Table1[[#This Row],[Total sales]]-Table1[[#This Row],[Price]]</f>
        <v>110000</v>
      </c>
    </row>
    <row r="35" spans="1:9" x14ac:dyDescent="0.3">
      <c r="A35" s="5">
        <v>45325</v>
      </c>
      <c r="B35" t="s">
        <v>26</v>
      </c>
      <c r="C35" t="s">
        <v>11</v>
      </c>
      <c r="D35" t="s">
        <v>25</v>
      </c>
      <c r="E35" t="s">
        <v>27</v>
      </c>
      <c r="F35">
        <v>4</v>
      </c>
      <c r="G35">
        <v>55000</v>
      </c>
      <c r="H35" s="3">
        <f>Table1[[#This Row],[Units_Sold]]*Table1[[#This Row],[Price]]</f>
        <v>220000</v>
      </c>
      <c r="I35" s="3">
        <f>Table1[[#This Row],[Total sales]]-Table1[[#This Row],[Price]]</f>
        <v>165000</v>
      </c>
    </row>
    <row r="36" spans="1:9" x14ac:dyDescent="0.3">
      <c r="A36" s="5">
        <v>45326</v>
      </c>
      <c r="B36" t="s">
        <v>24</v>
      </c>
      <c r="C36" t="s">
        <v>11</v>
      </c>
      <c r="D36" t="s">
        <v>25</v>
      </c>
      <c r="E36" t="s">
        <v>16</v>
      </c>
      <c r="F36">
        <v>2</v>
      </c>
      <c r="G36">
        <v>55000</v>
      </c>
      <c r="H36" s="3">
        <f>Table1[[#This Row],[Units_Sold]]*Table1[[#This Row],[Price]]</f>
        <v>110000</v>
      </c>
      <c r="I36" s="3">
        <f>Table1[[#This Row],[Total sales]]-Table1[[#This Row],[Price]]</f>
        <v>55000</v>
      </c>
    </row>
    <row r="37" spans="1:9" x14ac:dyDescent="0.3">
      <c r="A37" s="5">
        <v>45327</v>
      </c>
      <c r="B37" t="s">
        <v>7</v>
      </c>
      <c r="C37" t="s">
        <v>19</v>
      </c>
      <c r="D37" t="s">
        <v>20</v>
      </c>
      <c r="E37" t="s">
        <v>16</v>
      </c>
      <c r="F37">
        <v>6</v>
      </c>
      <c r="G37">
        <v>25000</v>
      </c>
      <c r="H37" s="3">
        <f>Table1[[#This Row],[Units_Sold]]*Table1[[#This Row],[Price]]</f>
        <v>150000</v>
      </c>
      <c r="I37" s="3">
        <f>Table1[[#This Row],[Total sales]]-Table1[[#This Row],[Price]]</f>
        <v>125000</v>
      </c>
    </row>
    <row r="38" spans="1:9" x14ac:dyDescent="0.3">
      <c r="A38" s="5">
        <v>45328</v>
      </c>
      <c r="B38" t="s">
        <v>17</v>
      </c>
      <c r="C38" t="s">
        <v>8</v>
      </c>
      <c r="D38" t="s">
        <v>9</v>
      </c>
      <c r="E38" t="s">
        <v>13</v>
      </c>
      <c r="F38">
        <v>8</v>
      </c>
      <c r="G38">
        <v>70000</v>
      </c>
      <c r="H38" s="3">
        <f>Table1[[#This Row],[Units_Sold]]*Table1[[#This Row],[Price]]</f>
        <v>560000</v>
      </c>
      <c r="I38" s="3">
        <f>Table1[[#This Row],[Total sales]]-Table1[[#This Row],[Price]]</f>
        <v>490000</v>
      </c>
    </row>
    <row r="39" spans="1:9" x14ac:dyDescent="0.3">
      <c r="A39" s="5">
        <v>45329</v>
      </c>
      <c r="B39" t="s">
        <v>17</v>
      </c>
      <c r="C39" t="s">
        <v>11</v>
      </c>
      <c r="D39" t="s">
        <v>12</v>
      </c>
      <c r="E39" t="s">
        <v>27</v>
      </c>
      <c r="F39">
        <v>2</v>
      </c>
      <c r="G39">
        <v>45000</v>
      </c>
      <c r="H39" s="3">
        <f>Table1[[#This Row],[Units_Sold]]*Table1[[#This Row],[Price]]</f>
        <v>90000</v>
      </c>
      <c r="I39" s="3">
        <f>Table1[[#This Row],[Total sales]]-Table1[[#This Row],[Price]]</f>
        <v>45000</v>
      </c>
    </row>
    <row r="40" spans="1:9" x14ac:dyDescent="0.3">
      <c r="A40" s="5">
        <v>45330</v>
      </c>
      <c r="B40" t="s">
        <v>7</v>
      </c>
      <c r="C40" t="s">
        <v>14</v>
      </c>
      <c r="D40" t="s">
        <v>15</v>
      </c>
      <c r="E40" t="s">
        <v>13</v>
      </c>
      <c r="F40">
        <v>4</v>
      </c>
      <c r="G40">
        <v>40000</v>
      </c>
      <c r="H40" s="3">
        <f>Table1[[#This Row],[Units_Sold]]*Table1[[#This Row],[Price]]</f>
        <v>160000</v>
      </c>
      <c r="I40" s="3">
        <f>Table1[[#This Row],[Total sales]]-Table1[[#This Row],[Price]]</f>
        <v>120000</v>
      </c>
    </row>
    <row r="41" spans="1:9" x14ac:dyDescent="0.3">
      <c r="A41" s="5">
        <v>45331</v>
      </c>
      <c r="B41" t="s">
        <v>26</v>
      </c>
      <c r="C41" t="s">
        <v>11</v>
      </c>
      <c r="D41" t="s">
        <v>25</v>
      </c>
      <c r="E41" t="s">
        <v>27</v>
      </c>
      <c r="F41">
        <v>5</v>
      </c>
      <c r="G41">
        <v>55000</v>
      </c>
      <c r="H41" s="3">
        <f>Table1[[#This Row],[Units_Sold]]*Table1[[#This Row],[Price]]</f>
        <v>275000</v>
      </c>
      <c r="I41" s="3">
        <f>Table1[[#This Row],[Total sales]]-Table1[[#This Row],[Price]]</f>
        <v>220000</v>
      </c>
    </row>
    <row r="42" spans="1:9" x14ac:dyDescent="0.3">
      <c r="A42" s="5">
        <v>45332</v>
      </c>
      <c r="B42" t="s">
        <v>24</v>
      </c>
      <c r="C42" t="s">
        <v>8</v>
      </c>
      <c r="D42" t="s">
        <v>22</v>
      </c>
      <c r="E42" t="s">
        <v>13</v>
      </c>
      <c r="F42">
        <v>8</v>
      </c>
      <c r="G42">
        <v>60000</v>
      </c>
      <c r="H42" s="3">
        <f>Table1[[#This Row],[Units_Sold]]*Table1[[#This Row],[Price]]</f>
        <v>480000</v>
      </c>
      <c r="I42" s="3">
        <f>Table1[[#This Row],[Total sales]]-Table1[[#This Row],[Price]]</f>
        <v>420000</v>
      </c>
    </row>
    <row r="43" spans="1:9" x14ac:dyDescent="0.3">
      <c r="A43" s="5">
        <v>45333</v>
      </c>
      <c r="B43" t="s">
        <v>26</v>
      </c>
      <c r="C43" t="s">
        <v>11</v>
      </c>
      <c r="D43" t="s">
        <v>25</v>
      </c>
      <c r="E43" t="s">
        <v>16</v>
      </c>
      <c r="F43">
        <v>4</v>
      </c>
      <c r="G43">
        <v>55000</v>
      </c>
      <c r="H43" s="3">
        <f>Table1[[#This Row],[Units_Sold]]*Table1[[#This Row],[Price]]</f>
        <v>220000</v>
      </c>
      <c r="I43" s="3">
        <f>Table1[[#This Row],[Total sales]]-Table1[[#This Row],[Price]]</f>
        <v>165000</v>
      </c>
    </row>
    <row r="44" spans="1:9" x14ac:dyDescent="0.3">
      <c r="A44" s="5">
        <v>45334</v>
      </c>
      <c r="B44" t="s">
        <v>7</v>
      </c>
      <c r="C44" t="s">
        <v>11</v>
      </c>
      <c r="D44" t="s">
        <v>25</v>
      </c>
      <c r="E44" t="s">
        <v>16</v>
      </c>
      <c r="F44">
        <v>5</v>
      </c>
      <c r="G44">
        <v>55000</v>
      </c>
      <c r="H44" s="3">
        <f>Table1[[#This Row],[Units_Sold]]*Table1[[#This Row],[Price]]</f>
        <v>275000</v>
      </c>
      <c r="I44" s="3">
        <f>Table1[[#This Row],[Total sales]]-Table1[[#This Row],[Price]]</f>
        <v>220000</v>
      </c>
    </row>
    <row r="45" spans="1:9" x14ac:dyDescent="0.3">
      <c r="A45" s="5">
        <v>45335</v>
      </c>
      <c r="B45" t="s">
        <v>21</v>
      </c>
      <c r="C45" t="s">
        <v>11</v>
      </c>
      <c r="D45" t="s">
        <v>12</v>
      </c>
      <c r="E45" t="s">
        <v>27</v>
      </c>
      <c r="F45">
        <v>5</v>
      </c>
      <c r="G45">
        <v>45000</v>
      </c>
      <c r="H45" s="3">
        <f>Table1[[#This Row],[Units_Sold]]*Table1[[#This Row],[Price]]</f>
        <v>225000</v>
      </c>
      <c r="I45" s="3">
        <f>Table1[[#This Row],[Total sales]]-Table1[[#This Row],[Price]]</f>
        <v>180000</v>
      </c>
    </row>
    <row r="46" spans="1:9" x14ac:dyDescent="0.3">
      <c r="A46" s="5">
        <v>45336</v>
      </c>
      <c r="B46" t="s">
        <v>21</v>
      </c>
      <c r="C46" t="s">
        <v>11</v>
      </c>
      <c r="D46" t="s">
        <v>12</v>
      </c>
      <c r="E46" t="s">
        <v>13</v>
      </c>
      <c r="F46">
        <v>8</v>
      </c>
      <c r="G46">
        <v>45000</v>
      </c>
      <c r="H46" s="3">
        <f>Table1[[#This Row],[Units_Sold]]*Table1[[#This Row],[Price]]</f>
        <v>360000</v>
      </c>
      <c r="I46" s="3">
        <f>Table1[[#This Row],[Total sales]]-Table1[[#This Row],[Price]]</f>
        <v>315000</v>
      </c>
    </row>
    <row r="47" spans="1:9" x14ac:dyDescent="0.3">
      <c r="A47" s="5">
        <v>45337</v>
      </c>
      <c r="B47" t="s">
        <v>26</v>
      </c>
      <c r="C47" t="s">
        <v>11</v>
      </c>
      <c r="D47" t="s">
        <v>12</v>
      </c>
      <c r="E47" t="s">
        <v>18</v>
      </c>
      <c r="F47">
        <v>8</v>
      </c>
      <c r="G47">
        <v>45000</v>
      </c>
      <c r="H47" s="3">
        <f>Table1[[#This Row],[Units_Sold]]*Table1[[#This Row],[Price]]</f>
        <v>360000</v>
      </c>
      <c r="I47" s="3">
        <f>Table1[[#This Row],[Total sales]]-Table1[[#This Row],[Price]]</f>
        <v>315000</v>
      </c>
    </row>
    <row r="48" spans="1:9" x14ac:dyDescent="0.3">
      <c r="A48" s="5">
        <v>45338</v>
      </c>
      <c r="B48" t="s">
        <v>17</v>
      </c>
      <c r="C48" t="s">
        <v>19</v>
      </c>
      <c r="D48" t="s">
        <v>20</v>
      </c>
      <c r="E48" t="s">
        <v>27</v>
      </c>
      <c r="F48">
        <v>5</v>
      </c>
      <c r="G48">
        <v>25000</v>
      </c>
      <c r="H48" s="3">
        <f>Table1[[#This Row],[Units_Sold]]*Table1[[#This Row],[Price]]</f>
        <v>125000</v>
      </c>
      <c r="I48" s="3">
        <f>Table1[[#This Row],[Total sales]]-Table1[[#This Row],[Price]]</f>
        <v>100000</v>
      </c>
    </row>
    <row r="49" spans="1:9" x14ac:dyDescent="0.3">
      <c r="A49" s="5">
        <v>45339</v>
      </c>
      <c r="B49" t="s">
        <v>21</v>
      </c>
      <c r="C49" t="s">
        <v>11</v>
      </c>
      <c r="D49" t="s">
        <v>12</v>
      </c>
      <c r="E49" t="s">
        <v>10</v>
      </c>
      <c r="F49">
        <v>3</v>
      </c>
      <c r="G49">
        <v>45000</v>
      </c>
      <c r="H49" s="3">
        <f>Table1[[#This Row],[Units_Sold]]*Table1[[#This Row],[Price]]</f>
        <v>135000</v>
      </c>
      <c r="I49" s="3">
        <f>Table1[[#This Row],[Total sales]]-Table1[[#This Row],[Price]]</f>
        <v>90000</v>
      </c>
    </row>
    <row r="50" spans="1:9" x14ac:dyDescent="0.3">
      <c r="A50" s="5">
        <v>45340</v>
      </c>
      <c r="B50" t="s">
        <v>26</v>
      </c>
      <c r="C50" t="s">
        <v>11</v>
      </c>
      <c r="D50" t="s">
        <v>12</v>
      </c>
      <c r="E50" t="s">
        <v>18</v>
      </c>
      <c r="F50">
        <v>5</v>
      </c>
      <c r="G50">
        <v>45000</v>
      </c>
      <c r="H50" s="3">
        <f>Table1[[#This Row],[Units_Sold]]*Table1[[#This Row],[Price]]</f>
        <v>225000</v>
      </c>
      <c r="I50" s="3">
        <f>Table1[[#This Row],[Total sales]]-Table1[[#This Row],[Price]]</f>
        <v>180000</v>
      </c>
    </row>
    <row r="51" spans="1:9" x14ac:dyDescent="0.3">
      <c r="A51" s="5">
        <v>45341</v>
      </c>
      <c r="B51" t="s">
        <v>17</v>
      </c>
      <c r="C51" t="s">
        <v>11</v>
      </c>
      <c r="D51" t="s">
        <v>25</v>
      </c>
      <c r="E51" t="s">
        <v>13</v>
      </c>
      <c r="F51">
        <v>5</v>
      </c>
      <c r="G51">
        <v>55000</v>
      </c>
      <c r="H51" s="3">
        <f>Table1[[#This Row],[Units_Sold]]*Table1[[#This Row],[Price]]</f>
        <v>275000</v>
      </c>
      <c r="I51" s="3">
        <f>Table1[[#This Row],[Total sales]]-Table1[[#This Row],[Price]]</f>
        <v>220000</v>
      </c>
    </row>
    <row r="52" spans="1:9" x14ac:dyDescent="0.3">
      <c r="A52" s="5">
        <v>45342</v>
      </c>
      <c r="B52" t="s">
        <v>17</v>
      </c>
      <c r="C52" t="s">
        <v>19</v>
      </c>
      <c r="D52" t="s">
        <v>20</v>
      </c>
      <c r="E52" t="s">
        <v>18</v>
      </c>
      <c r="F52">
        <v>7</v>
      </c>
      <c r="G52">
        <v>25000</v>
      </c>
      <c r="H52" s="3">
        <f>Table1[[#This Row],[Units_Sold]]*Table1[[#This Row],[Price]]</f>
        <v>175000</v>
      </c>
      <c r="I52" s="3">
        <f>Table1[[#This Row],[Total sales]]-Table1[[#This Row],[Price]]</f>
        <v>150000</v>
      </c>
    </row>
    <row r="53" spans="1:9" x14ac:dyDescent="0.3">
      <c r="A53" s="5">
        <v>45343</v>
      </c>
      <c r="B53" t="s">
        <v>21</v>
      </c>
      <c r="C53" t="s">
        <v>14</v>
      </c>
      <c r="D53" t="s">
        <v>23</v>
      </c>
      <c r="E53" t="s">
        <v>13</v>
      </c>
      <c r="F53">
        <v>5</v>
      </c>
      <c r="G53">
        <v>38000</v>
      </c>
      <c r="H53" s="3">
        <f>Table1[[#This Row],[Units_Sold]]*Table1[[#This Row],[Price]]</f>
        <v>190000</v>
      </c>
      <c r="I53" s="3">
        <f>Table1[[#This Row],[Total sales]]-Table1[[#This Row],[Price]]</f>
        <v>152000</v>
      </c>
    </row>
    <row r="54" spans="1:9" x14ac:dyDescent="0.3">
      <c r="A54" s="5">
        <v>45344</v>
      </c>
      <c r="B54" t="s">
        <v>7</v>
      </c>
      <c r="C54" t="s">
        <v>19</v>
      </c>
      <c r="D54" t="s">
        <v>20</v>
      </c>
      <c r="E54" t="s">
        <v>27</v>
      </c>
      <c r="F54">
        <v>8</v>
      </c>
      <c r="G54">
        <v>25000</v>
      </c>
      <c r="H54" s="3">
        <f>Table1[[#This Row],[Units_Sold]]*Table1[[#This Row],[Price]]</f>
        <v>200000</v>
      </c>
      <c r="I54" s="3">
        <f>Table1[[#This Row],[Total sales]]-Table1[[#This Row],[Price]]</f>
        <v>175000</v>
      </c>
    </row>
    <row r="55" spans="1:9" x14ac:dyDescent="0.3">
      <c r="A55" s="5">
        <v>45345</v>
      </c>
      <c r="B55" t="s">
        <v>24</v>
      </c>
      <c r="C55" t="s">
        <v>8</v>
      </c>
      <c r="D55" t="s">
        <v>22</v>
      </c>
      <c r="E55" t="s">
        <v>18</v>
      </c>
      <c r="F55">
        <v>4</v>
      </c>
      <c r="G55">
        <v>60000</v>
      </c>
      <c r="H55" s="3">
        <f>Table1[[#This Row],[Units_Sold]]*Table1[[#This Row],[Price]]</f>
        <v>240000</v>
      </c>
      <c r="I55" s="3">
        <f>Table1[[#This Row],[Total sales]]-Table1[[#This Row],[Price]]</f>
        <v>180000</v>
      </c>
    </row>
    <row r="56" spans="1:9" x14ac:dyDescent="0.3">
      <c r="A56" s="5">
        <v>45346</v>
      </c>
      <c r="B56" t="s">
        <v>21</v>
      </c>
      <c r="C56" t="s">
        <v>8</v>
      </c>
      <c r="D56" t="s">
        <v>9</v>
      </c>
      <c r="E56" t="s">
        <v>10</v>
      </c>
      <c r="F56">
        <v>7</v>
      </c>
      <c r="G56">
        <v>70000</v>
      </c>
      <c r="H56" s="3">
        <f>Table1[[#This Row],[Units_Sold]]*Table1[[#This Row],[Price]]</f>
        <v>490000</v>
      </c>
      <c r="I56" s="3">
        <f>Table1[[#This Row],[Total sales]]-Table1[[#This Row],[Price]]</f>
        <v>420000</v>
      </c>
    </row>
    <row r="57" spans="1:9" x14ac:dyDescent="0.3">
      <c r="A57" s="5">
        <v>45347</v>
      </c>
      <c r="B57" t="s">
        <v>26</v>
      </c>
      <c r="C57" t="s">
        <v>19</v>
      </c>
      <c r="D57" t="s">
        <v>20</v>
      </c>
      <c r="E57" t="s">
        <v>13</v>
      </c>
      <c r="F57">
        <v>6</v>
      </c>
      <c r="G57">
        <v>25000</v>
      </c>
      <c r="H57" s="3">
        <f>Table1[[#This Row],[Units_Sold]]*Table1[[#This Row],[Price]]</f>
        <v>150000</v>
      </c>
      <c r="I57" s="3">
        <f>Table1[[#This Row],[Total sales]]-Table1[[#This Row],[Price]]</f>
        <v>125000</v>
      </c>
    </row>
    <row r="58" spans="1:9" x14ac:dyDescent="0.3">
      <c r="A58" s="5">
        <v>45348</v>
      </c>
      <c r="B58" t="s">
        <v>24</v>
      </c>
      <c r="C58" t="s">
        <v>8</v>
      </c>
      <c r="D58" t="s">
        <v>22</v>
      </c>
      <c r="E58" t="s">
        <v>10</v>
      </c>
      <c r="F58">
        <v>4</v>
      </c>
      <c r="G58">
        <v>60000</v>
      </c>
      <c r="H58" s="3">
        <f>Table1[[#This Row],[Units_Sold]]*Table1[[#This Row],[Price]]</f>
        <v>240000</v>
      </c>
      <c r="I58" s="3">
        <f>Table1[[#This Row],[Total sales]]-Table1[[#This Row],[Price]]</f>
        <v>180000</v>
      </c>
    </row>
    <row r="59" spans="1:9" x14ac:dyDescent="0.3">
      <c r="A59" s="5">
        <v>45349</v>
      </c>
      <c r="B59" t="s">
        <v>17</v>
      </c>
      <c r="C59" t="s">
        <v>11</v>
      </c>
      <c r="D59" t="s">
        <v>25</v>
      </c>
      <c r="E59" t="s">
        <v>16</v>
      </c>
      <c r="F59">
        <v>4</v>
      </c>
      <c r="G59">
        <v>55000</v>
      </c>
      <c r="H59" s="3">
        <f>Table1[[#This Row],[Units_Sold]]*Table1[[#This Row],[Price]]</f>
        <v>220000</v>
      </c>
      <c r="I59" s="3">
        <f>Table1[[#This Row],[Total sales]]-Table1[[#This Row],[Price]]</f>
        <v>165000</v>
      </c>
    </row>
    <row r="60" spans="1:9" x14ac:dyDescent="0.3">
      <c r="A60" s="5">
        <v>45350</v>
      </c>
      <c r="B60" t="s">
        <v>26</v>
      </c>
      <c r="C60" t="s">
        <v>8</v>
      </c>
      <c r="D60" t="s">
        <v>9</v>
      </c>
      <c r="E60" t="s">
        <v>18</v>
      </c>
      <c r="F60">
        <v>8</v>
      </c>
      <c r="G60">
        <v>70000</v>
      </c>
      <c r="H60" s="3">
        <f>Table1[[#This Row],[Units_Sold]]*Table1[[#This Row],[Price]]</f>
        <v>560000</v>
      </c>
      <c r="I60" s="3">
        <f>Table1[[#This Row],[Total sales]]-Table1[[#This Row],[Price]]</f>
        <v>490000</v>
      </c>
    </row>
    <row r="61" spans="1:9" x14ac:dyDescent="0.3">
      <c r="A61" s="5">
        <v>45351</v>
      </c>
      <c r="B61" t="s">
        <v>7</v>
      </c>
      <c r="C61" t="s">
        <v>11</v>
      </c>
      <c r="D61" t="s">
        <v>12</v>
      </c>
      <c r="E61" t="s">
        <v>13</v>
      </c>
      <c r="F61">
        <v>6</v>
      </c>
      <c r="G61">
        <v>45000</v>
      </c>
      <c r="H61" s="3">
        <f>Table1[[#This Row],[Units_Sold]]*Table1[[#This Row],[Price]]</f>
        <v>270000</v>
      </c>
      <c r="I61" s="3">
        <f>Table1[[#This Row],[Total sales]]-Table1[[#This Row],[Price]]</f>
        <v>225000</v>
      </c>
    </row>
    <row r="62" spans="1:9" x14ac:dyDescent="0.3">
      <c r="A62" s="5">
        <v>45352</v>
      </c>
      <c r="B62" t="s">
        <v>7</v>
      </c>
      <c r="C62" t="s">
        <v>8</v>
      </c>
      <c r="D62" t="s">
        <v>22</v>
      </c>
      <c r="E62" t="s">
        <v>10</v>
      </c>
      <c r="F62">
        <v>7</v>
      </c>
      <c r="G62">
        <v>60000</v>
      </c>
      <c r="H62" s="3">
        <f>Table1[[#This Row],[Units_Sold]]*Table1[[#This Row],[Price]]</f>
        <v>420000</v>
      </c>
      <c r="I62" s="3">
        <f>Table1[[#This Row],[Total sales]]-Table1[[#This Row],[Price]]</f>
        <v>360000</v>
      </c>
    </row>
    <row r="63" spans="1:9" x14ac:dyDescent="0.3">
      <c r="A63" s="5">
        <v>45353</v>
      </c>
      <c r="B63" t="s">
        <v>24</v>
      </c>
      <c r="C63" t="s">
        <v>8</v>
      </c>
      <c r="D63" t="s">
        <v>22</v>
      </c>
      <c r="E63" t="s">
        <v>13</v>
      </c>
      <c r="F63">
        <v>4</v>
      </c>
      <c r="G63">
        <v>60000</v>
      </c>
      <c r="H63" s="3">
        <f>Table1[[#This Row],[Units_Sold]]*Table1[[#This Row],[Price]]</f>
        <v>240000</v>
      </c>
      <c r="I63" s="3">
        <f>Table1[[#This Row],[Total sales]]-Table1[[#This Row],[Price]]</f>
        <v>180000</v>
      </c>
    </row>
    <row r="64" spans="1:9" x14ac:dyDescent="0.3">
      <c r="A64" s="5">
        <v>45354</v>
      </c>
      <c r="B64" t="s">
        <v>26</v>
      </c>
      <c r="C64" t="s">
        <v>11</v>
      </c>
      <c r="D64" t="s">
        <v>25</v>
      </c>
      <c r="E64" t="s">
        <v>18</v>
      </c>
      <c r="F64">
        <v>7</v>
      </c>
      <c r="G64">
        <v>55000</v>
      </c>
      <c r="H64" s="3">
        <f>Table1[[#This Row],[Units_Sold]]*Table1[[#This Row],[Price]]</f>
        <v>385000</v>
      </c>
      <c r="I64" s="3">
        <f>Table1[[#This Row],[Total sales]]-Table1[[#This Row],[Price]]</f>
        <v>330000</v>
      </c>
    </row>
    <row r="65" spans="1:9" x14ac:dyDescent="0.3">
      <c r="A65" s="5">
        <v>45355</v>
      </c>
      <c r="B65" t="s">
        <v>17</v>
      </c>
      <c r="C65" t="s">
        <v>14</v>
      </c>
      <c r="D65" t="s">
        <v>15</v>
      </c>
      <c r="E65" t="s">
        <v>13</v>
      </c>
      <c r="F65">
        <v>8</v>
      </c>
      <c r="G65">
        <v>40000</v>
      </c>
      <c r="H65" s="3">
        <f>Table1[[#This Row],[Units_Sold]]*Table1[[#This Row],[Price]]</f>
        <v>320000</v>
      </c>
      <c r="I65" s="3">
        <f>Table1[[#This Row],[Total sales]]-Table1[[#This Row],[Price]]</f>
        <v>280000</v>
      </c>
    </row>
    <row r="66" spans="1:9" x14ac:dyDescent="0.3">
      <c r="A66" s="5">
        <v>45356</v>
      </c>
      <c r="B66" t="s">
        <v>21</v>
      </c>
      <c r="C66" t="s">
        <v>8</v>
      </c>
      <c r="D66" t="s">
        <v>9</v>
      </c>
      <c r="E66" t="s">
        <v>10</v>
      </c>
      <c r="F66">
        <v>7</v>
      </c>
      <c r="G66">
        <v>70000</v>
      </c>
      <c r="H66" s="3">
        <f>Table1[[#This Row],[Units_Sold]]*Table1[[#This Row],[Price]]</f>
        <v>490000</v>
      </c>
      <c r="I66" s="3">
        <f>Table1[[#This Row],[Total sales]]-Table1[[#This Row],[Price]]</f>
        <v>420000</v>
      </c>
    </row>
    <row r="67" spans="1:9" x14ac:dyDescent="0.3">
      <c r="A67" s="5">
        <v>45357</v>
      </c>
      <c r="B67" t="s">
        <v>24</v>
      </c>
      <c r="C67" t="s">
        <v>14</v>
      </c>
      <c r="D67" t="s">
        <v>23</v>
      </c>
      <c r="E67" t="s">
        <v>13</v>
      </c>
      <c r="F67">
        <v>3</v>
      </c>
      <c r="G67">
        <v>38000</v>
      </c>
      <c r="H67" s="3">
        <f>Table1[[#This Row],[Units_Sold]]*Table1[[#This Row],[Price]]</f>
        <v>114000</v>
      </c>
      <c r="I67" s="3">
        <f>Table1[[#This Row],[Total sales]]-Table1[[#This Row],[Price]]</f>
        <v>76000</v>
      </c>
    </row>
    <row r="68" spans="1:9" x14ac:dyDescent="0.3">
      <c r="A68" s="5">
        <v>45358</v>
      </c>
      <c r="B68" t="s">
        <v>7</v>
      </c>
      <c r="C68" t="s">
        <v>8</v>
      </c>
      <c r="D68" t="s">
        <v>22</v>
      </c>
      <c r="E68" t="s">
        <v>27</v>
      </c>
      <c r="F68">
        <v>7</v>
      </c>
      <c r="G68">
        <v>60000</v>
      </c>
      <c r="H68" s="3">
        <f>Table1[[#This Row],[Units_Sold]]*Table1[[#This Row],[Price]]</f>
        <v>420000</v>
      </c>
      <c r="I68" s="3">
        <f>Table1[[#This Row],[Total sales]]-Table1[[#This Row],[Price]]</f>
        <v>360000</v>
      </c>
    </row>
    <row r="69" spans="1:9" x14ac:dyDescent="0.3">
      <c r="A69" s="5">
        <v>45359</v>
      </c>
      <c r="B69" t="s">
        <v>7</v>
      </c>
      <c r="C69" t="s">
        <v>11</v>
      </c>
      <c r="D69" t="s">
        <v>12</v>
      </c>
      <c r="E69" t="s">
        <v>18</v>
      </c>
      <c r="F69">
        <v>4</v>
      </c>
      <c r="G69">
        <v>45000</v>
      </c>
      <c r="H69" s="3">
        <f>Table1[[#This Row],[Units_Sold]]*Table1[[#This Row],[Price]]</f>
        <v>180000</v>
      </c>
      <c r="I69" s="3">
        <f>Table1[[#This Row],[Total sales]]-Table1[[#This Row],[Price]]</f>
        <v>135000</v>
      </c>
    </row>
    <row r="70" spans="1:9" x14ac:dyDescent="0.3">
      <c r="A70" s="5">
        <v>45360</v>
      </c>
      <c r="B70" t="s">
        <v>17</v>
      </c>
      <c r="C70" t="s">
        <v>19</v>
      </c>
      <c r="D70" t="s">
        <v>20</v>
      </c>
      <c r="E70" t="s">
        <v>13</v>
      </c>
      <c r="F70">
        <v>3</v>
      </c>
      <c r="G70">
        <v>25000</v>
      </c>
      <c r="H70" s="3">
        <f>Table1[[#This Row],[Units_Sold]]*Table1[[#This Row],[Price]]</f>
        <v>75000</v>
      </c>
      <c r="I70" s="3">
        <f>Table1[[#This Row],[Total sales]]-Table1[[#This Row],[Price]]</f>
        <v>50000</v>
      </c>
    </row>
    <row r="71" spans="1:9" x14ac:dyDescent="0.3">
      <c r="A71" s="5">
        <v>45361</v>
      </c>
      <c r="B71" t="s">
        <v>24</v>
      </c>
      <c r="C71" t="s">
        <v>14</v>
      </c>
      <c r="D71" t="s">
        <v>23</v>
      </c>
      <c r="E71" t="s">
        <v>16</v>
      </c>
      <c r="F71">
        <v>4</v>
      </c>
      <c r="G71">
        <v>38000</v>
      </c>
      <c r="H71" s="3">
        <f>Table1[[#This Row],[Units_Sold]]*Table1[[#This Row],[Price]]</f>
        <v>152000</v>
      </c>
      <c r="I71" s="3">
        <f>Table1[[#This Row],[Total sales]]-Table1[[#This Row],[Price]]</f>
        <v>114000</v>
      </c>
    </row>
    <row r="72" spans="1:9" x14ac:dyDescent="0.3">
      <c r="A72" s="5">
        <v>45362</v>
      </c>
      <c r="B72" t="s">
        <v>17</v>
      </c>
      <c r="C72" t="s">
        <v>14</v>
      </c>
      <c r="D72" t="s">
        <v>15</v>
      </c>
      <c r="E72" t="s">
        <v>18</v>
      </c>
      <c r="F72">
        <v>3</v>
      </c>
      <c r="G72">
        <v>40000</v>
      </c>
      <c r="H72" s="3">
        <f>Table1[[#This Row],[Units_Sold]]*Table1[[#This Row],[Price]]</f>
        <v>120000</v>
      </c>
      <c r="I72" s="3">
        <f>Table1[[#This Row],[Total sales]]-Table1[[#This Row],[Price]]</f>
        <v>80000</v>
      </c>
    </row>
    <row r="73" spans="1:9" x14ac:dyDescent="0.3">
      <c r="A73" s="5">
        <v>45363</v>
      </c>
      <c r="B73" t="s">
        <v>21</v>
      </c>
      <c r="C73" t="s">
        <v>19</v>
      </c>
      <c r="D73" t="s">
        <v>20</v>
      </c>
      <c r="E73" t="s">
        <v>27</v>
      </c>
      <c r="F73">
        <v>3</v>
      </c>
      <c r="G73">
        <v>25000</v>
      </c>
      <c r="H73" s="3">
        <f>Table1[[#This Row],[Units_Sold]]*Table1[[#This Row],[Price]]</f>
        <v>75000</v>
      </c>
      <c r="I73" s="3">
        <f>Table1[[#This Row],[Total sales]]-Table1[[#This Row],[Price]]</f>
        <v>50000</v>
      </c>
    </row>
    <row r="74" spans="1:9" x14ac:dyDescent="0.3">
      <c r="A74" s="5">
        <v>45364</v>
      </c>
      <c r="B74" t="s">
        <v>26</v>
      </c>
      <c r="C74" t="s">
        <v>11</v>
      </c>
      <c r="D74" t="s">
        <v>25</v>
      </c>
      <c r="E74" t="s">
        <v>10</v>
      </c>
      <c r="F74">
        <v>8</v>
      </c>
      <c r="G74">
        <v>55000</v>
      </c>
      <c r="H74" s="3">
        <f>Table1[[#This Row],[Units_Sold]]*Table1[[#This Row],[Price]]</f>
        <v>440000</v>
      </c>
      <c r="I74" s="3">
        <f>Table1[[#This Row],[Total sales]]-Table1[[#This Row],[Price]]</f>
        <v>385000</v>
      </c>
    </row>
    <row r="75" spans="1:9" x14ac:dyDescent="0.3">
      <c r="A75" s="5">
        <v>45365</v>
      </c>
      <c r="B75" t="s">
        <v>26</v>
      </c>
      <c r="C75" t="s">
        <v>19</v>
      </c>
      <c r="D75" t="s">
        <v>20</v>
      </c>
      <c r="E75" t="s">
        <v>18</v>
      </c>
      <c r="F75">
        <v>2</v>
      </c>
      <c r="G75">
        <v>25000</v>
      </c>
      <c r="H75" s="3">
        <f>Table1[[#This Row],[Units_Sold]]*Table1[[#This Row],[Price]]</f>
        <v>50000</v>
      </c>
      <c r="I75" s="3">
        <f>Table1[[#This Row],[Total sales]]-Table1[[#This Row],[Price]]</f>
        <v>25000</v>
      </c>
    </row>
    <row r="76" spans="1:9" x14ac:dyDescent="0.3">
      <c r="A76" s="5">
        <v>45366</v>
      </c>
      <c r="B76" t="s">
        <v>7</v>
      </c>
      <c r="C76" t="s">
        <v>14</v>
      </c>
      <c r="D76" t="s">
        <v>15</v>
      </c>
      <c r="E76" t="s">
        <v>16</v>
      </c>
      <c r="F76">
        <v>4</v>
      </c>
      <c r="G76">
        <v>40000</v>
      </c>
      <c r="H76" s="3">
        <f>Table1[[#This Row],[Units_Sold]]*Table1[[#This Row],[Price]]</f>
        <v>160000</v>
      </c>
      <c r="I76" s="3">
        <f>Table1[[#This Row],[Total sales]]-Table1[[#This Row],[Price]]</f>
        <v>120000</v>
      </c>
    </row>
    <row r="77" spans="1:9" x14ac:dyDescent="0.3">
      <c r="A77" s="5">
        <v>45367</v>
      </c>
      <c r="B77" t="s">
        <v>24</v>
      </c>
      <c r="C77" t="s">
        <v>14</v>
      </c>
      <c r="D77" t="s">
        <v>23</v>
      </c>
      <c r="E77" t="s">
        <v>10</v>
      </c>
      <c r="F77">
        <v>6</v>
      </c>
      <c r="G77">
        <v>38000</v>
      </c>
      <c r="H77" s="3">
        <f>Table1[[#This Row],[Units_Sold]]*Table1[[#This Row],[Price]]</f>
        <v>228000</v>
      </c>
      <c r="I77" s="3">
        <f>Table1[[#This Row],[Total sales]]-Table1[[#This Row],[Price]]</f>
        <v>190000</v>
      </c>
    </row>
    <row r="78" spans="1:9" x14ac:dyDescent="0.3">
      <c r="A78" s="5">
        <v>45368</v>
      </c>
      <c r="B78" t="s">
        <v>24</v>
      </c>
      <c r="C78" t="s">
        <v>19</v>
      </c>
      <c r="D78" t="s">
        <v>20</v>
      </c>
      <c r="E78" t="s">
        <v>13</v>
      </c>
      <c r="F78">
        <v>2</v>
      </c>
      <c r="G78">
        <v>25000</v>
      </c>
      <c r="H78" s="3">
        <f>Table1[[#This Row],[Units_Sold]]*Table1[[#This Row],[Price]]</f>
        <v>50000</v>
      </c>
      <c r="I78" s="3">
        <f>Table1[[#This Row],[Total sales]]-Table1[[#This Row],[Price]]</f>
        <v>25000</v>
      </c>
    </row>
    <row r="79" spans="1:9" x14ac:dyDescent="0.3">
      <c r="A79" s="5">
        <v>45369</v>
      </c>
      <c r="B79" t="s">
        <v>21</v>
      </c>
      <c r="C79" t="s">
        <v>11</v>
      </c>
      <c r="D79" t="s">
        <v>12</v>
      </c>
      <c r="E79" t="s">
        <v>18</v>
      </c>
      <c r="F79">
        <v>7</v>
      </c>
      <c r="G79">
        <v>45000</v>
      </c>
      <c r="H79" s="3">
        <f>Table1[[#This Row],[Units_Sold]]*Table1[[#This Row],[Price]]</f>
        <v>315000</v>
      </c>
      <c r="I79" s="3">
        <f>Table1[[#This Row],[Total sales]]-Table1[[#This Row],[Price]]</f>
        <v>270000</v>
      </c>
    </row>
    <row r="80" spans="1:9" x14ac:dyDescent="0.3">
      <c r="A80" s="5">
        <v>45370</v>
      </c>
      <c r="B80" t="s">
        <v>7</v>
      </c>
      <c r="C80" t="s">
        <v>8</v>
      </c>
      <c r="D80" t="s">
        <v>9</v>
      </c>
      <c r="E80" t="s">
        <v>18</v>
      </c>
      <c r="F80">
        <v>7</v>
      </c>
      <c r="G80">
        <v>70000</v>
      </c>
      <c r="H80" s="3">
        <f>Table1[[#This Row],[Units_Sold]]*Table1[[#This Row],[Price]]</f>
        <v>490000</v>
      </c>
      <c r="I80" s="3">
        <f>Table1[[#This Row],[Total sales]]-Table1[[#This Row],[Price]]</f>
        <v>420000</v>
      </c>
    </row>
    <row r="81" spans="1:9" x14ac:dyDescent="0.3">
      <c r="A81" s="5">
        <v>45371</v>
      </c>
      <c r="B81" t="s">
        <v>7</v>
      </c>
      <c r="C81" t="s">
        <v>8</v>
      </c>
      <c r="D81" t="s">
        <v>9</v>
      </c>
      <c r="E81" t="s">
        <v>18</v>
      </c>
      <c r="F81">
        <v>3</v>
      </c>
      <c r="G81">
        <v>70000</v>
      </c>
      <c r="H81" s="3">
        <f>Table1[[#This Row],[Units_Sold]]*Table1[[#This Row],[Price]]</f>
        <v>210000</v>
      </c>
      <c r="I81" s="3">
        <f>Table1[[#This Row],[Total sales]]-Table1[[#This Row],[Price]]</f>
        <v>140000</v>
      </c>
    </row>
    <row r="82" spans="1:9" x14ac:dyDescent="0.3">
      <c r="A82" s="5">
        <v>45372</v>
      </c>
      <c r="B82" t="s">
        <v>24</v>
      </c>
      <c r="C82" t="s">
        <v>8</v>
      </c>
      <c r="D82" t="s">
        <v>9</v>
      </c>
      <c r="E82" t="s">
        <v>16</v>
      </c>
      <c r="F82">
        <v>2</v>
      </c>
      <c r="G82">
        <v>70000</v>
      </c>
      <c r="H82" s="3">
        <f>Table1[[#This Row],[Units_Sold]]*Table1[[#This Row],[Price]]</f>
        <v>140000</v>
      </c>
      <c r="I82" s="3">
        <f>Table1[[#This Row],[Total sales]]-Table1[[#This Row],[Price]]</f>
        <v>70000</v>
      </c>
    </row>
    <row r="83" spans="1:9" x14ac:dyDescent="0.3">
      <c r="A83" s="5">
        <v>45373</v>
      </c>
      <c r="B83" t="s">
        <v>26</v>
      </c>
      <c r="C83" t="s">
        <v>8</v>
      </c>
      <c r="D83" t="s">
        <v>22</v>
      </c>
      <c r="E83" t="s">
        <v>16</v>
      </c>
      <c r="F83">
        <v>8</v>
      </c>
      <c r="G83">
        <v>60000</v>
      </c>
      <c r="H83" s="3">
        <f>Table1[[#This Row],[Units_Sold]]*Table1[[#This Row],[Price]]</f>
        <v>480000</v>
      </c>
      <c r="I83" s="3">
        <f>Table1[[#This Row],[Total sales]]-Table1[[#This Row],[Price]]</f>
        <v>420000</v>
      </c>
    </row>
    <row r="84" spans="1:9" x14ac:dyDescent="0.3">
      <c r="A84" s="5">
        <v>45374</v>
      </c>
      <c r="B84" t="s">
        <v>7</v>
      </c>
      <c r="C84" t="s">
        <v>8</v>
      </c>
      <c r="D84" t="s">
        <v>22</v>
      </c>
      <c r="E84" t="s">
        <v>10</v>
      </c>
      <c r="F84">
        <v>4</v>
      </c>
      <c r="G84">
        <v>60000</v>
      </c>
      <c r="H84" s="3">
        <f>Table1[[#This Row],[Units_Sold]]*Table1[[#This Row],[Price]]</f>
        <v>240000</v>
      </c>
      <c r="I84" s="3">
        <f>Table1[[#This Row],[Total sales]]-Table1[[#This Row],[Price]]</f>
        <v>180000</v>
      </c>
    </row>
    <row r="85" spans="1:9" x14ac:dyDescent="0.3">
      <c r="A85" s="5">
        <v>45375</v>
      </c>
      <c r="B85" t="s">
        <v>26</v>
      </c>
      <c r="C85" t="s">
        <v>11</v>
      </c>
      <c r="D85" t="s">
        <v>25</v>
      </c>
      <c r="E85" t="s">
        <v>10</v>
      </c>
      <c r="F85">
        <v>2</v>
      </c>
      <c r="G85">
        <v>55000</v>
      </c>
      <c r="H85" s="3">
        <f>Table1[[#This Row],[Units_Sold]]*Table1[[#This Row],[Price]]</f>
        <v>110000</v>
      </c>
      <c r="I85" s="3">
        <f>Table1[[#This Row],[Total sales]]-Table1[[#This Row],[Price]]</f>
        <v>55000</v>
      </c>
    </row>
    <row r="86" spans="1:9" x14ac:dyDescent="0.3">
      <c r="A86" s="5">
        <v>45376</v>
      </c>
      <c r="B86" t="s">
        <v>7</v>
      </c>
      <c r="C86" t="s">
        <v>14</v>
      </c>
      <c r="D86" t="s">
        <v>23</v>
      </c>
      <c r="E86" t="s">
        <v>10</v>
      </c>
      <c r="F86">
        <v>7</v>
      </c>
      <c r="G86">
        <v>38000</v>
      </c>
      <c r="H86" s="3">
        <f>Table1[[#This Row],[Units_Sold]]*Table1[[#This Row],[Price]]</f>
        <v>266000</v>
      </c>
      <c r="I86" s="3">
        <f>Table1[[#This Row],[Total sales]]-Table1[[#This Row],[Price]]</f>
        <v>228000</v>
      </c>
    </row>
    <row r="87" spans="1:9" x14ac:dyDescent="0.3">
      <c r="A87" s="5">
        <v>45377</v>
      </c>
      <c r="B87" t="s">
        <v>7</v>
      </c>
      <c r="C87" t="s">
        <v>14</v>
      </c>
      <c r="D87" t="s">
        <v>23</v>
      </c>
      <c r="E87" t="s">
        <v>10</v>
      </c>
      <c r="F87">
        <v>3</v>
      </c>
      <c r="G87">
        <v>38000</v>
      </c>
      <c r="H87" s="3">
        <f>Table1[[#This Row],[Units_Sold]]*Table1[[#This Row],[Price]]</f>
        <v>114000</v>
      </c>
      <c r="I87" s="3">
        <f>Table1[[#This Row],[Total sales]]-Table1[[#This Row],[Price]]</f>
        <v>76000</v>
      </c>
    </row>
    <row r="88" spans="1:9" x14ac:dyDescent="0.3">
      <c r="A88" s="5">
        <v>45378</v>
      </c>
      <c r="B88" t="s">
        <v>7</v>
      </c>
      <c r="C88" t="s">
        <v>14</v>
      </c>
      <c r="D88" t="s">
        <v>23</v>
      </c>
      <c r="E88" t="s">
        <v>16</v>
      </c>
      <c r="F88">
        <v>7</v>
      </c>
      <c r="G88">
        <v>38000</v>
      </c>
      <c r="H88" s="3">
        <f>Table1[[#This Row],[Units_Sold]]*Table1[[#This Row],[Price]]</f>
        <v>266000</v>
      </c>
      <c r="I88" s="3">
        <f>Table1[[#This Row],[Total sales]]-Table1[[#This Row],[Price]]</f>
        <v>228000</v>
      </c>
    </row>
    <row r="89" spans="1:9" x14ac:dyDescent="0.3">
      <c r="A89" s="5">
        <v>45379</v>
      </c>
      <c r="B89" t="s">
        <v>24</v>
      </c>
      <c r="C89" t="s">
        <v>11</v>
      </c>
      <c r="D89" t="s">
        <v>12</v>
      </c>
      <c r="E89" t="s">
        <v>27</v>
      </c>
      <c r="F89">
        <v>6</v>
      </c>
      <c r="G89">
        <v>45000</v>
      </c>
      <c r="H89" s="3">
        <f>Table1[[#This Row],[Units_Sold]]*Table1[[#This Row],[Price]]</f>
        <v>270000</v>
      </c>
      <c r="I89" s="3">
        <f>Table1[[#This Row],[Total sales]]-Table1[[#This Row],[Price]]</f>
        <v>225000</v>
      </c>
    </row>
    <row r="90" spans="1:9" x14ac:dyDescent="0.3">
      <c r="A90" s="5">
        <v>45380</v>
      </c>
      <c r="B90" t="s">
        <v>24</v>
      </c>
      <c r="C90" t="s">
        <v>11</v>
      </c>
      <c r="D90" t="s">
        <v>25</v>
      </c>
      <c r="E90" t="s">
        <v>13</v>
      </c>
      <c r="F90">
        <v>8</v>
      </c>
      <c r="G90">
        <v>55000</v>
      </c>
      <c r="H90" s="3">
        <f>Table1[[#This Row],[Units_Sold]]*Table1[[#This Row],[Price]]</f>
        <v>440000</v>
      </c>
      <c r="I90" s="3">
        <f>Table1[[#This Row],[Total sales]]-Table1[[#This Row],[Price]]</f>
        <v>385000</v>
      </c>
    </row>
    <row r="91" spans="1:9" x14ac:dyDescent="0.3">
      <c r="A91" s="5">
        <v>45381</v>
      </c>
      <c r="B91" t="s">
        <v>21</v>
      </c>
      <c r="C91" t="s">
        <v>8</v>
      </c>
      <c r="D91" t="s">
        <v>9</v>
      </c>
      <c r="E91" t="s">
        <v>10</v>
      </c>
      <c r="F91">
        <v>5</v>
      </c>
      <c r="G91">
        <v>70000</v>
      </c>
      <c r="H91" s="3">
        <f>Table1[[#This Row],[Units_Sold]]*Table1[[#This Row],[Price]]</f>
        <v>350000</v>
      </c>
      <c r="I91" s="3">
        <f>Table1[[#This Row],[Total sales]]-Table1[[#This Row],[Price]]</f>
        <v>280000</v>
      </c>
    </row>
    <row r="92" spans="1:9" x14ac:dyDescent="0.3">
      <c r="A92" s="5">
        <v>45382</v>
      </c>
      <c r="B92" t="s">
        <v>17</v>
      </c>
      <c r="C92" t="s">
        <v>8</v>
      </c>
      <c r="D92" t="s">
        <v>22</v>
      </c>
      <c r="E92" t="s">
        <v>13</v>
      </c>
      <c r="F92">
        <v>6</v>
      </c>
      <c r="G92">
        <v>60000</v>
      </c>
      <c r="H92" s="3">
        <f>Table1[[#This Row],[Units_Sold]]*Table1[[#This Row],[Price]]</f>
        <v>360000</v>
      </c>
      <c r="I92" s="3">
        <f>Table1[[#This Row],[Total sales]]-Table1[[#This Row],[Price]]</f>
        <v>300000</v>
      </c>
    </row>
    <row r="93" spans="1:9" x14ac:dyDescent="0.3">
      <c r="A93" s="5">
        <v>45383</v>
      </c>
      <c r="B93" t="s">
        <v>26</v>
      </c>
      <c r="C93" t="s">
        <v>14</v>
      </c>
      <c r="D93" t="s">
        <v>23</v>
      </c>
      <c r="E93" t="s">
        <v>27</v>
      </c>
      <c r="F93">
        <v>6</v>
      </c>
      <c r="G93">
        <v>38000</v>
      </c>
      <c r="H93" s="3">
        <f>Table1[[#This Row],[Units_Sold]]*Table1[[#This Row],[Price]]</f>
        <v>228000</v>
      </c>
      <c r="I93" s="3">
        <f>Table1[[#This Row],[Total sales]]-Table1[[#This Row],[Price]]</f>
        <v>190000</v>
      </c>
    </row>
    <row r="94" spans="1:9" x14ac:dyDescent="0.3">
      <c r="A94" s="5">
        <v>45384</v>
      </c>
      <c r="B94" t="s">
        <v>7</v>
      </c>
      <c r="C94" t="s">
        <v>14</v>
      </c>
      <c r="D94" t="s">
        <v>23</v>
      </c>
      <c r="E94" t="s">
        <v>13</v>
      </c>
      <c r="F94">
        <v>3</v>
      </c>
      <c r="G94">
        <v>38000</v>
      </c>
      <c r="H94" s="3">
        <f>Table1[[#This Row],[Units_Sold]]*Table1[[#This Row],[Price]]</f>
        <v>114000</v>
      </c>
      <c r="I94" s="3">
        <f>Table1[[#This Row],[Total sales]]-Table1[[#This Row],[Price]]</f>
        <v>76000</v>
      </c>
    </row>
    <row r="95" spans="1:9" x14ac:dyDescent="0.3">
      <c r="A95" s="5">
        <v>45385</v>
      </c>
      <c r="B95" t="s">
        <v>26</v>
      </c>
      <c r="C95" t="s">
        <v>14</v>
      </c>
      <c r="D95" t="s">
        <v>23</v>
      </c>
      <c r="E95" t="s">
        <v>18</v>
      </c>
      <c r="F95">
        <v>2</v>
      </c>
      <c r="G95">
        <v>38000</v>
      </c>
      <c r="H95" s="3">
        <f>Table1[[#This Row],[Units_Sold]]*Table1[[#This Row],[Price]]</f>
        <v>76000</v>
      </c>
      <c r="I95" s="3">
        <f>Table1[[#This Row],[Total sales]]-Table1[[#This Row],[Price]]</f>
        <v>38000</v>
      </c>
    </row>
    <row r="96" spans="1:9" x14ac:dyDescent="0.3">
      <c r="A96" s="5">
        <v>45386</v>
      </c>
      <c r="B96" t="s">
        <v>21</v>
      </c>
      <c r="C96" t="s">
        <v>19</v>
      </c>
      <c r="D96" t="s">
        <v>20</v>
      </c>
      <c r="E96" t="s">
        <v>18</v>
      </c>
      <c r="F96">
        <v>4</v>
      </c>
      <c r="G96">
        <v>25000</v>
      </c>
      <c r="H96" s="3">
        <f>Table1[[#This Row],[Units_Sold]]*Table1[[#This Row],[Price]]</f>
        <v>100000</v>
      </c>
      <c r="I96" s="3">
        <f>Table1[[#This Row],[Total sales]]-Table1[[#This Row],[Price]]</f>
        <v>75000</v>
      </c>
    </row>
    <row r="97" spans="1:9" x14ac:dyDescent="0.3">
      <c r="A97" s="5">
        <v>45387</v>
      </c>
      <c r="B97" t="s">
        <v>17</v>
      </c>
      <c r="C97" t="s">
        <v>14</v>
      </c>
      <c r="D97" t="s">
        <v>23</v>
      </c>
      <c r="E97" t="s">
        <v>16</v>
      </c>
      <c r="F97">
        <v>8</v>
      </c>
      <c r="G97">
        <v>38000</v>
      </c>
      <c r="H97" s="3">
        <f>Table1[[#This Row],[Units_Sold]]*Table1[[#This Row],[Price]]</f>
        <v>304000</v>
      </c>
      <c r="I97" s="3">
        <f>Table1[[#This Row],[Total sales]]-Table1[[#This Row],[Price]]</f>
        <v>266000</v>
      </c>
    </row>
    <row r="98" spans="1:9" x14ac:dyDescent="0.3">
      <c r="A98" s="5">
        <v>45388</v>
      </c>
      <c r="B98" t="s">
        <v>7</v>
      </c>
      <c r="C98" t="s">
        <v>8</v>
      </c>
      <c r="D98" t="s">
        <v>9</v>
      </c>
      <c r="E98" t="s">
        <v>27</v>
      </c>
      <c r="F98">
        <v>4</v>
      </c>
      <c r="G98">
        <v>70000</v>
      </c>
      <c r="H98" s="3">
        <f>Table1[[#This Row],[Units_Sold]]*Table1[[#This Row],[Price]]</f>
        <v>280000</v>
      </c>
      <c r="I98" s="3">
        <f>Table1[[#This Row],[Total sales]]-Table1[[#This Row],[Price]]</f>
        <v>210000</v>
      </c>
    </row>
    <row r="99" spans="1:9" x14ac:dyDescent="0.3">
      <c r="A99" s="5">
        <v>45389</v>
      </c>
      <c r="B99" t="s">
        <v>7</v>
      </c>
      <c r="C99" t="s">
        <v>8</v>
      </c>
      <c r="D99" t="s">
        <v>9</v>
      </c>
      <c r="E99" t="s">
        <v>27</v>
      </c>
      <c r="F99">
        <v>5</v>
      </c>
      <c r="G99">
        <v>70000</v>
      </c>
      <c r="H99" s="3">
        <f>Table1[[#This Row],[Units_Sold]]*Table1[[#This Row],[Price]]</f>
        <v>350000</v>
      </c>
      <c r="I99" s="3">
        <f>Table1[[#This Row],[Total sales]]-Table1[[#This Row],[Price]]</f>
        <v>280000</v>
      </c>
    </row>
    <row r="100" spans="1:9" x14ac:dyDescent="0.3">
      <c r="A100" s="5">
        <v>45390</v>
      </c>
      <c r="B100" t="s">
        <v>17</v>
      </c>
      <c r="C100" t="s">
        <v>14</v>
      </c>
      <c r="D100" t="s">
        <v>15</v>
      </c>
      <c r="E100" t="s">
        <v>27</v>
      </c>
      <c r="F100">
        <v>5</v>
      </c>
      <c r="G100">
        <v>40000</v>
      </c>
      <c r="H100" s="3">
        <f>Table1[[#This Row],[Units_Sold]]*Table1[[#This Row],[Price]]</f>
        <v>200000</v>
      </c>
      <c r="I100" s="3">
        <f>Table1[[#This Row],[Total sales]]-Table1[[#This Row],[Price]]</f>
        <v>160000</v>
      </c>
    </row>
    <row r="101" spans="1:9" x14ac:dyDescent="0.3">
      <c r="A101" s="5">
        <v>45391</v>
      </c>
      <c r="B101" t="s">
        <v>17</v>
      </c>
      <c r="C101" t="s">
        <v>19</v>
      </c>
      <c r="D101" t="s">
        <v>20</v>
      </c>
      <c r="E101" t="s">
        <v>13</v>
      </c>
      <c r="F101">
        <v>2</v>
      </c>
      <c r="G101">
        <v>25000</v>
      </c>
      <c r="H101" s="3">
        <f>Table1[[#This Row],[Units_Sold]]*Table1[[#This Row],[Price]]</f>
        <v>50000</v>
      </c>
      <c r="I101" s="3">
        <f>Table1[[#This Row],[Total sales]]-Table1[[#This Row],[Price]]</f>
        <v>25000</v>
      </c>
    </row>
    <row r="102" spans="1:9" x14ac:dyDescent="0.3">
      <c r="A102" s="5">
        <v>45392</v>
      </c>
      <c r="B102" t="s">
        <v>7</v>
      </c>
      <c r="C102" t="s">
        <v>11</v>
      </c>
      <c r="D102" t="s">
        <v>12</v>
      </c>
      <c r="E102" t="s">
        <v>10</v>
      </c>
      <c r="F102">
        <v>2</v>
      </c>
      <c r="G102">
        <v>45000</v>
      </c>
      <c r="H102" s="3">
        <f>Table1[[#This Row],[Units_Sold]]*Table1[[#This Row],[Price]]</f>
        <v>90000</v>
      </c>
      <c r="I102" s="3">
        <f>Table1[[#This Row],[Total sales]]-Table1[[#This Row],[Price]]</f>
        <v>45000</v>
      </c>
    </row>
    <row r="103" spans="1:9" x14ac:dyDescent="0.3">
      <c r="A103" s="5">
        <v>45393</v>
      </c>
      <c r="B103" t="s">
        <v>21</v>
      </c>
      <c r="C103" t="s">
        <v>8</v>
      </c>
      <c r="D103" t="s">
        <v>9</v>
      </c>
      <c r="E103" t="s">
        <v>18</v>
      </c>
      <c r="F103">
        <v>2</v>
      </c>
      <c r="G103">
        <v>70000</v>
      </c>
      <c r="H103" s="3">
        <f>Table1[[#This Row],[Units_Sold]]*Table1[[#This Row],[Price]]</f>
        <v>140000</v>
      </c>
      <c r="I103" s="3">
        <f>Table1[[#This Row],[Total sales]]-Table1[[#This Row],[Price]]</f>
        <v>70000</v>
      </c>
    </row>
    <row r="104" spans="1:9" x14ac:dyDescent="0.3">
      <c r="A104" s="5">
        <v>45394</v>
      </c>
      <c r="B104" t="s">
        <v>26</v>
      </c>
      <c r="C104" t="s">
        <v>8</v>
      </c>
      <c r="D104" t="s">
        <v>22</v>
      </c>
      <c r="E104" t="s">
        <v>16</v>
      </c>
      <c r="F104">
        <v>8</v>
      </c>
      <c r="G104">
        <v>60000</v>
      </c>
      <c r="H104" s="3">
        <f>Table1[[#This Row],[Units_Sold]]*Table1[[#This Row],[Price]]</f>
        <v>480000</v>
      </c>
      <c r="I104" s="3">
        <f>Table1[[#This Row],[Total sales]]-Table1[[#This Row],[Price]]</f>
        <v>420000</v>
      </c>
    </row>
    <row r="105" spans="1:9" x14ac:dyDescent="0.3">
      <c r="A105" s="5">
        <v>45395</v>
      </c>
      <c r="B105" t="s">
        <v>7</v>
      </c>
      <c r="C105" t="s">
        <v>19</v>
      </c>
      <c r="D105" t="s">
        <v>20</v>
      </c>
      <c r="E105" t="s">
        <v>27</v>
      </c>
      <c r="F105">
        <v>5</v>
      </c>
      <c r="G105">
        <v>25000</v>
      </c>
      <c r="H105" s="3">
        <f>Table1[[#This Row],[Units_Sold]]*Table1[[#This Row],[Price]]</f>
        <v>125000</v>
      </c>
      <c r="I105" s="3">
        <f>Table1[[#This Row],[Total sales]]-Table1[[#This Row],[Price]]</f>
        <v>100000</v>
      </c>
    </row>
    <row r="106" spans="1:9" x14ac:dyDescent="0.3">
      <c r="A106" s="5">
        <v>45396</v>
      </c>
      <c r="B106" t="s">
        <v>26</v>
      </c>
      <c r="C106" t="s">
        <v>14</v>
      </c>
      <c r="D106" t="s">
        <v>15</v>
      </c>
      <c r="E106" t="s">
        <v>16</v>
      </c>
      <c r="F106">
        <v>5</v>
      </c>
      <c r="G106">
        <v>40000</v>
      </c>
      <c r="H106" s="3">
        <f>Table1[[#This Row],[Units_Sold]]*Table1[[#This Row],[Price]]</f>
        <v>200000</v>
      </c>
      <c r="I106" s="3">
        <f>Table1[[#This Row],[Total sales]]-Table1[[#This Row],[Price]]</f>
        <v>160000</v>
      </c>
    </row>
    <row r="107" spans="1:9" x14ac:dyDescent="0.3">
      <c r="A107" s="5">
        <v>45397</v>
      </c>
      <c r="B107" t="s">
        <v>21</v>
      </c>
      <c r="C107" t="s">
        <v>19</v>
      </c>
      <c r="D107" t="s">
        <v>20</v>
      </c>
      <c r="E107" t="s">
        <v>16</v>
      </c>
      <c r="F107">
        <v>5</v>
      </c>
      <c r="G107">
        <v>25000</v>
      </c>
      <c r="H107" s="3">
        <f>Table1[[#This Row],[Units_Sold]]*Table1[[#This Row],[Price]]</f>
        <v>125000</v>
      </c>
      <c r="I107" s="3">
        <f>Table1[[#This Row],[Total sales]]-Table1[[#This Row],[Price]]</f>
        <v>100000</v>
      </c>
    </row>
    <row r="108" spans="1:9" x14ac:dyDescent="0.3">
      <c r="A108" s="5">
        <v>45398</v>
      </c>
      <c r="B108" t="s">
        <v>7</v>
      </c>
      <c r="C108" t="s">
        <v>19</v>
      </c>
      <c r="D108" t="s">
        <v>20</v>
      </c>
      <c r="E108" t="s">
        <v>27</v>
      </c>
      <c r="F108">
        <v>5</v>
      </c>
      <c r="G108">
        <v>25000</v>
      </c>
      <c r="H108" s="3">
        <f>Table1[[#This Row],[Units_Sold]]*Table1[[#This Row],[Price]]</f>
        <v>125000</v>
      </c>
      <c r="I108" s="3">
        <f>Table1[[#This Row],[Total sales]]-Table1[[#This Row],[Price]]</f>
        <v>100000</v>
      </c>
    </row>
    <row r="109" spans="1:9" x14ac:dyDescent="0.3">
      <c r="A109" s="5">
        <v>45399</v>
      </c>
      <c r="B109" t="s">
        <v>24</v>
      </c>
      <c r="C109" t="s">
        <v>8</v>
      </c>
      <c r="D109" t="s">
        <v>9</v>
      </c>
      <c r="E109" t="s">
        <v>27</v>
      </c>
      <c r="F109">
        <v>4</v>
      </c>
      <c r="G109">
        <v>70000</v>
      </c>
      <c r="H109" s="3">
        <f>Table1[[#This Row],[Units_Sold]]*Table1[[#This Row],[Price]]</f>
        <v>280000</v>
      </c>
      <c r="I109" s="3">
        <f>Table1[[#This Row],[Total sales]]-Table1[[#This Row],[Price]]</f>
        <v>210000</v>
      </c>
    </row>
    <row r="110" spans="1:9" x14ac:dyDescent="0.3">
      <c r="A110" s="5">
        <v>45400</v>
      </c>
      <c r="B110" t="s">
        <v>26</v>
      </c>
      <c r="C110" t="s">
        <v>19</v>
      </c>
      <c r="D110" t="s">
        <v>20</v>
      </c>
      <c r="E110" t="s">
        <v>27</v>
      </c>
      <c r="F110">
        <v>4</v>
      </c>
      <c r="G110">
        <v>25000</v>
      </c>
      <c r="H110" s="3">
        <f>Table1[[#This Row],[Units_Sold]]*Table1[[#This Row],[Price]]</f>
        <v>100000</v>
      </c>
      <c r="I110" s="3">
        <f>Table1[[#This Row],[Total sales]]-Table1[[#This Row],[Price]]</f>
        <v>75000</v>
      </c>
    </row>
    <row r="111" spans="1:9" x14ac:dyDescent="0.3">
      <c r="A111" s="5">
        <v>45401</v>
      </c>
      <c r="B111" t="s">
        <v>26</v>
      </c>
      <c r="C111" t="s">
        <v>14</v>
      </c>
      <c r="D111" t="s">
        <v>23</v>
      </c>
      <c r="E111" t="s">
        <v>27</v>
      </c>
      <c r="F111">
        <v>2</v>
      </c>
      <c r="G111">
        <v>38000</v>
      </c>
      <c r="H111" s="3">
        <f>Table1[[#This Row],[Units_Sold]]*Table1[[#This Row],[Price]]</f>
        <v>76000</v>
      </c>
      <c r="I111" s="3">
        <f>Table1[[#This Row],[Total sales]]-Table1[[#This Row],[Price]]</f>
        <v>38000</v>
      </c>
    </row>
    <row r="112" spans="1:9" x14ac:dyDescent="0.3">
      <c r="A112" s="5">
        <v>45402</v>
      </c>
      <c r="B112" t="s">
        <v>7</v>
      </c>
      <c r="C112" t="s">
        <v>19</v>
      </c>
      <c r="D112" t="s">
        <v>20</v>
      </c>
      <c r="E112" t="s">
        <v>13</v>
      </c>
      <c r="F112">
        <v>5</v>
      </c>
      <c r="G112">
        <v>25000</v>
      </c>
      <c r="H112" s="3">
        <f>Table1[[#This Row],[Units_Sold]]*Table1[[#This Row],[Price]]</f>
        <v>125000</v>
      </c>
      <c r="I112" s="3">
        <f>Table1[[#This Row],[Total sales]]-Table1[[#This Row],[Price]]</f>
        <v>100000</v>
      </c>
    </row>
    <row r="113" spans="1:9" x14ac:dyDescent="0.3">
      <c r="A113" s="5">
        <v>45403</v>
      </c>
      <c r="B113" t="s">
        <v>7</v>
      </c>
      <c r="C113" t="s">
        <v>11</v>
      </c>
      <c r="D113" t="s">
        <v>12</v>
      </c>
      <c r="E113" t="s">
        <v>16</v>
      </c>
      <c r="F113">
        <v>6</v>
      </c>
      <c r="G113">
        <v>45000</v>
      </c>
      <c r="H113" s="3">
        <f>Table1[[#This Row],[Units_Sold]]*Table1[[#This Row],[Price]]</f>
        <v>270000</v>
      </c>
      <c r="I113" s="3">
        <f>Table1[[#This Row],[Total sales]]-Table1[[#This Row],[Price]]</f>
        <v>225000</v>
      </c>
    </row>
    <row r="114" spans="1:9" x14ac:dyDescent="0.3">
      <c r="A114" s="5">
        <v>45404</v>
      </c>
      <c r="B114" t="s">
        <v>21</v>
      </c>
      <c r="C114" t="s">
        <v>11</v>
      </c>
      <c r="D114" t="s">
        <v>25</v>
      </c>
      <c r="E114" t="s">
        <v>13</v>
      </c>
      <c r="F114">
        <v>3</v>
      </c>
      <c r="G114">
        <v>55000</v>
      </c>
      <c r="H114" s="3">
        <f>Table1[[#This Row],[Units_Sold]]*Table1[[#This Row],[Price]]</f>
        <v>165000</v>
      </c>
      <c r="I114" s="3">
        <f>Table1[[#This Row],[Total sales]]-Table1[[#This Row],[Price]]</f>
        <v>110000</v>
      </c>
    </row>
    <row r="115" spans="1:9" x14ac:dyDescent="0.3">
      <c r="A115" s="5">
        <v>45405</v>
      </c>
      <c r="B115" t="s">
        <v>17</v>
      </c>
      <c r="C115" t="s">
        <v>8</v>
      </c>
      <c r="D115" t="s">
        <v>22</v>
      </c>
      <c r="E115" t="s">
        <v>18</v>
      </c>
      <c r="F115">
        <v>5</v>
      </c>
      <c r="G115">
        <v>60000</v>
      </c>
      <c r="H115" s="3">
        <f>Table1[[#This Row],[Units_Sold]]*Table1[[#This Row],[Price]]</f>
        <v>300000</v>
      </c>
      <c r="I115" s="3">
        <f>Table1[[#This Row],[Total sales]]-Table1[[#This Row],[Price]]</f>
        <v>240000</v>
      </c>
    </row>
    <row r="116" spans="1:9" x14ac:dyDescent="0.3">
      <c r="A116" s="5">
        <v>45406</v>
      </c>
      <c r="B116" t="s">
        <v>7</v>
      </c>
      <c r="C116" t="s">
        <v>8</v>
      </c>
      <c r="D116" t="s">
        <v>22</v>
      </c>
      <c r="E116" t="s">
        <v>13</v>
      </c>
      <c r="F116">
        <v>7</v>
      </c>
      <c r="G116">
        <v>60000</v>
      </c>
      <c r="H116" s="3">
        <f>Table1[[#This Row],[Units_Sold]]*Table1[[#This Row],[Price]]</f>
        <v>420000</v>
      </c>
      <c r="I116" s="3">
        <f>Table1[[#This Row],[Total sales]]-Table1[[#This Row],[Price]]</f>
        <v>360000</v>
      </c>
    </row>
    <row r="117" spans="1:9" x14ac:dyDescent="0.3">
      <c r="A117" s="5">
        <v>45407</v>
      </c>
      <c r="B117" t="s">
        <v>7</v>
      </c>
      <c r="C117" t="s">
        <v>14</v>
      </c>
      <c r="D117" t="s">
        <v>23</v>
      </c>
      <c r="E117" t="s">
        <v>27</v>
      </c>
      <c r="F117">
        <v>4</v>
      </c>
      <c r="G117">
        <v>38000</v>
      </c>
      <c r="H117" s="3">
        <f>Table1[[#This Row],[Units_Sold]]*Table1[[#This Row],[Price]]</f>
        <v>152000</v>
      </c>
      <c r="I117" s="3">
        <f>Table1[[#This Row],[Total sales]]-Table1[[#This Row],[Price]]</f>
        <v>114000</v>
      </c>
    </row>
    <row r="118" spans="1:9" x14ac:dyDescent="0.3">
      <c r="A118" s="5">
        <v>45408</v>
      </c>
      <c r="B118" t="s">
        <v>24</v>
      </c>
      <c r="C118" t="s">
        <v>11</v>
      </c>
      <c r="D118" t="s">
        <v>12</v>
      </c>
      <c r="E118" t="s">
        <v>13</v>
      </c>
      <c r="F118">
        <v>7</v>
      </c>
      <c r="G118">
        <v>45000</v>
      </c>
      <c r="H118" s="3">
        <f>Table1[[#This Row],[Units_Sold]]*Table1[[#This Row],[Price]]</f>
        <v>315000</v>
      </c>
      <c r="I118" s="3">
        <f>Table1[[#This Row],[Total sales]]-Table1[[#This Row],[Price]]</f>
        <v>270000</v>
      </c>
    </row>
    <row r="119" spans="1:9" x14ac:dyDescent="0.3">
      <c r="A119" s="5">
        <v>45409</v>
      </c>
      <c r="B119" t="s">
        <v>24</v>
      </c>
      <c r="C119" t="s">
        <v>8</v>
      </c>
      <c r="D119" t="s">
        <v>22</v>
      </c>
      <c r="E119" t="s">
        <v>16</v>
      </c>
      <c r="F119">
        <v>3</v>
      </c>
      <c r="G119">
        <v>60000</v>
      </c>
      <c r="H119" s="3">
        <f>Table1[[#This Row],[Units_Sold]]*Table1[[#This Row],[Price]]</f>
        <v>180000</v>
      </c>
      <c r="I119" s="3">
        <f>Table1[[#This Row],[Total sales]]-Table1[[#This Row],[Price]]</f>
        <v>120000</v>
      </c>
    </row>
    <row r="120" spans="1:9" x14ac:dyDescent="0.3">
      <c r="A120" s="5">
        <v>45410</v>
      </c>
      <c r="B120" t="s">
        <v>24</v>
      </c>
      <c r="C120" t="s">
        <v>8</v>
      </c>
      <c r="D120" t="s">
        <v>9</v>
      </c>
      <c r="E120" t="s">
        <v>27</v>
      </c>
      <c r="F120">
        <v>8</v>
      </c>
      <c r="G120">
        <v>70000</v>
      </c>
      <c r="H120" s="3">
        <f>Table1[[#This Row],[Units_Sold]]*Table1[[#This Row],[Price]]</f>
        <v>560000</v>
      </c>
      <c r="I120" s="3">
        <f>Table1[[#This Row],[Total sales]]-Table1[[#This Row],[Price]]</f>
        <v>490000</v>
      </c>
    </row>
    <row r="121" spans="1:9" x14ac:dyDescent="0.3">
      <c r="A121" s="5">
        <v>45411</v>
      </c>
      <c r="B121" t="s">
        <v>24</v>
      </c>
      <c r="C121" t="s">
        <v>19</v>
      </c>
      <c r="D121" t="s">
        <v>20</v>
      </c>
      <c r="E121" t="s">
        <v>10</v>
      </c>
      <c r="F121">
        <v>8</v>
      </c>
      <c r="G121">
        <v>25000</v>
      </c>
      <c r="H121" s="3">
        <f>Table1[[#This Row],[Units_Sold]]*Table1[[#This Row],[Price]]</f>
        <v>200000</v>
      </c>
      <c r="I121" s="3">
        <f>Table1[[#This Row],[Total sales]]-Table1[[#This Row],[Price]]</f>
        <v>175000</v>
      </c>
    </row>
    <row r="122" spans="1:9" x14ac:dyDescent="0.3">
      <c r="A122" s="5">
        <v>45412</v>
      </c>
      <c r="B122" t="s">
        <v>7</v>
      </c>
      <c r="C122" t="s">
        <v>14</v>
      </c>
      <c r="D122" t="s">
        <v>15</v>
      </c>
      <c r="E122" t="s">
        <v>18</v>
      </c>
      <c r="F122">
        <v>3</v>
      </c>
      <c r="G122">
        <v>40000</v>
      </c>
      <c r="H122" s="3">
        <f>Table1[[#This Row],[Units_Sold]]*Table1[[#This Row],[Price]]</f>
        <v>120000</v>
      </c>
      <c r="I122" s="3">
        <f>Table1[[#This Row],[Total sales]]-Table1[[#This Row],[Price]]</f>
        <v>80000</v>
      </c>
    </row>
    <row r="123" spans="1:9" x14ac:dyDescent="0.3">
      <c r="A123" s="5">
        <v>45413</v>
      </c>
      <c r="B123" t="s">
        <v>24</v>
      </c>
      <c r="C123" t="s">
        <v>14</v>
      </c>
      <c r="D123" t="s">
        <v>23</v>
      </c>
      <c r="E123" t="s">
        <v>13</v>
      </c>
      <c r="F123">
        <v>5</v>
      </c>
      <c r="G123">
        <v>38000</v>
      </c>
      <c r="H123" s="3">
        <f>Table1[[#This Row],[Units_Sold]]*Table1[[#This Row],[Price]]</f>
        <v>190000</v>
      </c>
      <c r="I123" s="3">
        <f>Table1[[#This Row],[Total sales]]-Table1[[#This Row],[Price]]</f>
        <v>152000</v>
      </c>
    </row>
    <row r="124" spans="1:9" x14ac:dyDescent="0.3">
      <c r="A124" s="5">
        <v>45414</v>
      </c>
      <c r="B124" t="s">
        <v>21</v>
      </c>
      <c r="C124" t="s">
        <v>11</v>
      </c>
      <c r="D124" t="s">
        <v>25</v>
      </c>
      <c r="E124" t="s">
        <v>18</v>
      </c>
      <c r="F124">
        <v>8</v>
      </c>
      <c r="G124">
        <v>55000</v>
      </c>
      <c r="H124" s="3">
        <f>Table1[[#This Row],[Units_Sold]]*Table1[[#This Row],[Price]]</f>
        <v>440000</v>
      </c>
      <c r="I124" s="3">
        <f>Table1[[#This Row],[Total sales]]-Table1[[#This Row],[Price]]</f>
        <v>385000</v>
      </c>
    </row>
    <row r="125" spans="1:9" x14ac:dyDescent="0.3">
      <c r="A125" s="5">
        <v>45415</v>
      </c>
      <c r="B125" t="s">
        <v>17</v>
      </c>
      <c r="C125" t="s">
        <v>19</v>
      </c>
      <c r="D125" t="s">
        <v>20</v>
      </c>
      <c r="E125" t="s">
        <v>13</v>
      </c>
      <c r="F125">
        <v>6</v>
      </c>
      <c r="G125">
        <v>25000</v>
      </c>
      <c r="H125" s="3">
        <f>Table1[[#This Row],[Units_Sold]]*Table1[[#This Row],[Price]]</f>
        <v>150000</v>
      </c>
      <c r="I125" s="3">
        <f>Table1[[#This Row],[Total sales]]-Table1[[#This Row],[Price]]</f>
        <v>125000</v>
      </c>
    </row>
    <row r="126" spans="1:9" x14ac:dyDescent="0.3">
      <c r="A126" s="5">
        <v>45416</v>
      </c>
      <c r="B126" t="s">
        <v>26</v>
      </c>
      <c r="C126" t="s">
        <v>11</v>
      </c>
      <c r="D126" t="s">
        <v>12</v>
      </c>
      <c r="E126" t="s">
        <v>18</v>
      </c>
      <c r="F126">
        <v>4</v>
      </c>
      <c r="G126">
        <v>45000</v>
      </c>
      <c r="H126" s="3">
        <f>Table1[[#This Row],[Units_Sold]]*Table1[[#This Row],[Price]]</f>
        <v>180000</v>
      </c>
      <c r="I126" s="3">
        <f>Table1[[#This Row],[Total sales]]-Table1[[#This Row],[Price]]</f>
        <v>135000</v>
      </c>
    </row>
    <row r="127" spans="1:9" x14ac:dyDescent="0.3">
      <c r="A127" s="5">
        <v>45417</v>
      </c>
      <c r="B127" t="s">
        <v>24</v>
      </c>
      <c r="C127" t="s">
        <v>8</v>
      </c>
      <c r="D127" t="s">
        <v>22</v>
      </c>
      <c r="E127" t="s">
        <v>18</v>
      </c>
      <c r="F127">
        <v>3</v>
      </c>
      <c r="G127">
        <v>60000</v>
      </c>
      <c r="H127" s="3">
        <f>Table1[[#This Row],[Units_Sold]]*Table1[[#This Row],[Price]]</f>
        <v>180000</v>
      </c>
      <c r="I127" s="3">
        <f>Table1[[#This Row],[Total sales]]-Table1[[#This Row],[Price]]</f>
        <v>120000</v>
      </c>
    </row>
    <row r="128" spans="1:9" x14ac:dyDescent="0.3">
      <c r="A128" s="5">
        <v>45418</v>
      </c>
      <c r="B128" t="s">
        <v>26</v>
      </c>
      <c r="C128" t="s">
        <v>19</v>
      </c>
      <c r="D128" t="s">
        <v>20</v>
      </c>
      <c r="E128" t="s">
        <v>10</v>
      </c>
      <c r="F128">
        <v>7</v>
      </c>
      <c r="G128">
        <v>25000</v>
      </c>
      <c r="H128" s="3">
        <f>Table1[[#This Row],[Units_Sold]]*Table1[[#This Row],[Price]]</f>
        <v>175000</v>
      </c>
      <c r="I128" s="3">
        <f>Table1[[#This Row],[Total sales]]-Table1[[#This Row],[Price]]</f>
        <v>150000</v>
      </c>
    </row>
    <row r="129" spans="1:9" x14ac:dyDescent="0.3">
      <c r="A129" s="5">
        <v>45419</v>
      </c>
      <c r="B129" t="s">
        <v>7</v>
      </c>
      <c r="C129" t="s">
        <v>19</v>
      </c>
      <c r="D129" t="s">
        <v>20</v>
      </c>
      <c r="E129" t="s">
        <v>13</v>
      </c>
      <c r="F129">
        <v>8</v>
      </c>
      <c r="G129">
        <v>25000</v>
      </c>
      <c r="H129" s="3">
        <f>Table1[[#This Row],[Units_Sold]]*Table1[[#This Row],[Price]]</f>
        <v>200000</v>
      </c>
      <c r="I129" s="3">
        <f>Table1[[#This Row],[Total sales]]-Table1[[#This Row],[Price]]</f>
        <v>175000</v>
      </c>
    </row>
    <row r="130" spans="1:9" x14ac:dyDescent="0.3">
      <c r="A130" s="5">
        <v>45420</v>
      </c>
      <c r="B130" t="s">
        <v>7</v>
      </c>
      <c r="C130" t="s">
        <v>19</v>
      </c>
      <c r="D130" t="s">
        <v>20</v>
      </c>
      <c r="E130" t="s">
        <v>18</v>
      </c>
      <c r="F130">
        <v>2</v>
      </c>
      <c r="G130">
        <v>25000</v>
      </c>
      <c r="H130" s="3">
        <f>Table1[[#This Row],[Units_Sold]]*Table1[[#This Row],[Price]]</f>
        <v>50000</v>
      </c>
      <c r="I130" s="3">
        <f>Table1[[#This Row],[Total sales]]-Table1[[#This Row],[Price]]</f>
        <v>25000</v>
      </c>
    </row>
    <row r="131" spans="1:9" x14ac:dyDescent="0.3">
      <c r="A131" s="5">
        <v>45421</v>
      </c>
      <c r="B131" t="s">
        <v>7</v>
      </c>
      <c r="C131" t="s">
        <v>19</v>
      </c>
      <c r="D131" t="s">
        <v>20</v>
      </c>
      <c r="E131" t="s">
        <v>10</v>
      </c>
      <c r="F131">
        <v>8</v>
      </c>
      <c r="G131">
        <v>25000</v>
      </c>
      <c r="H131" s="3">
        <f>Table1[[#This Row],[Units_Sold]]*Table1[[#This Row],[Price]]</f>
        <v>200000</v>
      </c>
      <c r="I131" s="3">
        <f>Table1[[#This Row],[Total sales]]-Table1[[#This Row],[Price]]</f>
        <v>175000</v>
      </c>
    </row>
    <row r="132" spans="1:9" x14ac:dyDescent="0.3">
      <c r="A132" s="5">
        <v>45422</v>
      </c>
      <c r="B132" t="s">
        <v>7</v>
      </c>
      <c r="C132" t="s">
        <v>8</v>
      </c>
      <c r="D132" t="s">
        <v>22</v>
      </c>
      <c r="E132" t="s">
        <v>13</v>
      </c>
      <c r="F132">
        <v>8</v>
      </c>
      <c r="G132">
        <v>60000</v>
      </c>
      <c r="H132" s="3">
        <f>Table1[[#This Row],[Units_Sold]]*Table1[[#This Row],[Price]]</f>
        <v>480000</v>
      </c>
      <c r="I132" s="3">
        <f>Table1[[#This Row],[Total sales]]-Table1[[#This Row],[Price]]</f>
        <v>420000</v>
      </c>
    </row>
    <row r="133" spans="1:9" x14ac:dyDescent="0.3">
      <c r="A133" s="5">
        <v>45423</v>
      </c>
      <c r="B133" t="s">
        <v>24</v>
      </c>
      <c r="C133" t="s">
        <v>8</v>
      </c>
      <c r="D133" t="s">
        <v>22</v>
      </c>
      <c r="E133" t="s">
        <v>13</v>
      </c>
      <c r="F133">
        <v>5</v>
      </c>
      <c r="G133">
        <v>60000</v>
      </c>
      <c r="H133" s="3">
        <f>Table1[[#This Row],[Units_Sold]]*Table1[[#This Row],[Price]]</f>
        <v>300000</v>
      </c>
      <c r="I133" s="3">
        <f>Table1[[#This Row],[Total sales]]-Table1[[#This Row],[Price]]</f>
        <v>240000</v>
      </c>
    </row>
    <row r="134" spans="1:9" x14ac:dyDescent="0.3">
      <c r="A134" s="5">
        <v>45424</v>
      </c>
      <c r="B134" t="s">
        <v>7</v>
      </c>
      <c r="C134" t="s">
        <v>19</v>
      </c>
      <c r="D134" t="s">
        <v>20</v>
      </c>
      <c r="E134" t="s">
        <v>13</v>
      </c>
      <c r="F134">
        <v>5</v>
      </c>
      <c r="G134">
        <v>25000</v>
      </c>
      <c r="H134" s="3">
        <f>Table1[[#This Row],[Units_Sold]]*Table1[[#This Row],[Price]]</f>
        <v>125000</v>
      </c>
      <c r="I134" s="3">
        <f>Table1[[#This Row],[Total sales]]-Table1[[#This Row],[Price]]</f>
        <v>100000</v>
      </c>
    </row>
    <row r="135" spans="1:9" x14ac:dyDescent="0.3">
      <c r="A135" s="5">
        <v>45425</v>
      </c>
      <c r="B135" t="s">
        <v>24</v>
      </c>
      <c r="C135" t="s">
        <v>11</v>
      </c>
      <c r="D135" t="s">
        <v>12</v>
      </c>
      <c r="E135" t="s">
        <v>18</v>
      </c>
      <c r="F135">
        <v>5</v>
      </c>
      <c r="G135">
        <v>45000</v>
      </c>
      <c r="H135" s="3">
        <f>Table1[[#This Row],[Units_Sold]]*Table1[[#This Row],[Price]]</f>
        <v>225000</v>
      </c>
      <c r="I135" s="3">
        <f>Table1[[#This Row],[Total sales]]-Table1[[#This Row],[Price]]</f>
        <v>180000</v>
      </c>
    </row>
    <row r="136" spans="1:9" x14ac:dyDescent="0.3">
      <c r="A136" s="5">
        <v>45426</v>
      </c>
      <c r="B136" t="s">
        <v>26</v>
      </c>
      <c r="C136" t="s">
        <v>11</v>
      </c>
      <c r="D136" t="s">
        <v>12</v>
      </c>
      <c r="E136" t="s">
        <v>10</v>
      </c>
      <c r="F136">
        <v>8</v>
      </c>
      <c r="G136">
        <v>45000</v>
      </c>
      <c r="H136" s="3">
        <f>Table1[[#This Row],[Units_Sold]]*Table1[[#This Row],[Price]]</f>
        <v>360000</v>
      </c>
      <c r="I136" s="3">
        <f>Table1[[#This Row],[Total sales]]-Table1[[#This Row],[Price]]</f>
        <v>315000</v>
      </c>
    </row>
    <row r="137" spans="1:9" x14ac:dyDescent="0.3">
      <c r="A137" s="5">
        <v>45427</v>
      </c>
      <c r="B137" t="s">
        <v>21</v>
      </c>
      <c r="C137" t="s">
        <v>19</v>
      </c>
      <c r="D137" t="s">
        <v>20</v>
      </c>
      <c r="E137" t="s">
        <v>10</v>
      </c>
      <c r="F137">
        <v>8</v>
      </c>
      <c r="G137">
        <v>25000</v>
      </c>
      <c r="H137" s="3">
        <f>Table1[[#This Row],[Units_Sold]]*Table1[[#This Row],[Price]]</f>
        <v>200000</v>
      </c>
      <c r="I137" s="3">
        <f>Table1[[#This Row],[Total sales]]-Table1[[#This Row],[Price]]</f>
        <v>175000</v>
      </c>
    </row>
    <row r="138" spans="1:9" x14ac:dyDescent="0.3">
      <c r="A138" s="5">
        <v>45428</v>
      </c>
      <c r="B138" t="s">
        <v>21</v>
      </c>
      <c r="C138" t="s">
        <v>8</v>
      </c>
      <c r="D138" t="s">
        <v>9</v>
      </c>
      <c r="E138" t="s">
        <v>10</v>
      </c>
      <c r="F138">
        <v>5</v>
      </c>
      <c r="G138">
        <v>70000</v>
      </c>
      <c r="H138" s="3">
        <f>Table1[[#This Row],[Units_Sold]]*Table1[[#This Row],[Price]]</f>
        <v>350000</v>
      </c>
      <c r="I138" s="3">
        <f>Table1[[#This Row],[Total sales]]-Table1[[#This Row],[Price]]</f>
        <v>280000</v>
      </c>
    </row>
    <row r="139" spans="1:9" x14ac:dyDescent="0.3">
      <c r="A139" s="5">
        <v>45429</v>
      </c>
      <c r="B139" t="s">
        <v>7</v>
      </c>
      <c r="C139" t="s">
        <v>11</v>
      </c>
      <c r="D139" t="s">
        <v>25</v>
      </c>
      <c r="E139" t="s">
        <v>27</v>
      </c>
      <c r="F139">
        <v>7</v>
      </c>
      <c r="G139">
        <v>55000</v>
      </c>
      <c r="H139" s="3">
        <f>Table1[[#This Row],[Units_Sold]]*Table1[[#This Row],[Price]]</f>
        <v>385000</v>
      </c>
      <c r="I139" s="3">
        <f>Table1[[#This Row],[Total sales]]-Table1[[#This Row],[Price]]</f>
        <v>330000</v>
      </c>
    </row>
    <row r="140" spans="1:9" x14ac:dyDescent="0.3">
      <c r="A140" s="5">
        <v>45430</v>
      </c>
      <c r="B140" t="s">
        <v>21</v>
      </c>
      <c r="C140" t="s">
        <v>11</v>
      </c>
      <c r="D140" t="s">
        <v>25</v>
      </c>
      <c r="E140" t="s">
        <v>18</v>
      </c>
      <c r="F140">
        <v>7</v>
      </c>
      <c r="G140">
        <v>55000</v>
      </c>
      <c r="H140" s="3">
        <f>Table1[[#This Row],[Units_Sold]]*Table1[[#This Row],[Price]]</f>
        <v>385000</v>
      </c>
      <c r="I140" s="3">
        <f>Table1[[#This Row],[Total sales]]-Table1[[#This Row],[Price]]</f>
        <v>330000</v>
      </c>
    </row>
    <row r="141" spans="1:9" x14ac:dyDescent="0.3">
      <c r="A141" s="5">
        <v>45431</v>
      </c>
      <c r="B141" t="s">
        <v>21</v>
      </c>
      <c r="C141" t="s">
        <v>8</v>
      </c>
      <c r="D141" t="s">
        <v>9</v>
      </c>
      <c r="E141" t="s">
        <v>18</v>
      </c>
      <c r="F141">
        <v>3</v>
      </c>
      <c r="G141">
        <v>70000</v>
      </c>
      <c r="H141" s="3">
        <f>Table1[[#This Row],[Units_Sold]]*Table1[[#This Row],[Price]]</f>
        <v>210000</v>
      </c>
      <c r="I141" s="3">
        <f>Table1[[#This Row],[Total sales]]-Table1[[#This Row],[Price]]</f>
        <v>140000</v>
      </c>
    </row>
    <row r="142" spans="1:9" x14ac:dyDescent="0.3">
      <c r="A142" s="5">
        <v>45432</v>
      </c>
      <c r="B142" t="s">
        <v>17</v>
      </c>
      <c r="C142" t="s">
        <v>8</v>
      </c>
      <c r="D142" t="s">
        <v>9</v>
      </c>
      <c r="E142" t="s">
        <v>27</v>
      </c>
      <c r="F142">
        <v>7</v>
      </c>
      <c r="G142">
        <v>70000</v>
      </c>
      <c r="H142" s="3">
        <f>Table1[[#This Row],[Units_Sold]]*Table1[[#This Row],[Price]]</f>
        <v>490000</v>
      </c>
      <c r="I142" s="3">
        <f>Table1[[#This Row],[Total sales]]-Table1[[#This Row],[Price]]</f>
        <v>420000</v>
      </c>
    </row>
    <row r="143" spans="1:9" x14ac:dyDescent="0.3">
      <c r="A143" s="5">
        <v>45433</v>
      </c>
      <c r="B143" t="s">
        <v>24</v>
      </c>
      <c r="C143" t="s">
        <v>19</v>
      </c>
      <c r="D143" t="s">
        <v>20</v>
      </c>
      <c r="E143" t="s">
        <v>18</v>
      </c>
      <c r="F143">
        <v>6</v>
      </c>
      <c r="G143">
        <v>25000</v>
      </c>
      <c r="H143" s="3">
        <f>Table1[[#This Row],[Units_Sold]]*Table1[[#This Row],[Price]]</f>
        <v>150000</v>
      </c>
      <c r="I143" s="3">
        <f>Table1[[#This Row],[Total sales]]-Table1[[#This Row],[Price]]</f>
        <v>125000</v>
      </c>
    </row>
    <row r="144" spans="1:9" x14ac:dyDescent="0.3">
      <c r="A144" s="5">
        <v>45434</v>
      </c>
      <c r="B144" t="s">
        <v>17</v>
      </c>
      <c r="C144" t="s">
        <v>8</v>
      </c>
      <c r="D144" t="s">
        <v>22</v>
      </c>
      <c r="E144" t="s">
        <v>16</v>
      </c>
      <c r="F144">
        <v>4</v>
      </c>
      <c r="G144">
        <v>60000</v>
      </c>
      <c r="H144" s="3">
        <f>Table1[[#This Row],[Units_Sold]]*Table1[[#This Row],[Price]]</f>
        <v>240000</v>
      </c>
      <c r="I144" s="3">
        <f>Table1[[#This Row],[Total sales]]-Table1[[#This Row],[Price]]</f>
        <v>180000</v>
      </c>
    </row>
    <row r="145" spans="1:9" x14ac:dyDescent="0.3">
      <c r="A145" s="5">
        <v>45435</v>
      </c>
      <c r="B145" t="s">
        <v>17</v>
      </c>
      <c r="C145" t="s">
        <v>19</v>
      </c>
      <c r="D145" t="s">
        <v>20</v>
      </c>
      <c r="E145" t="s">
        <v>18</v>
      </c>
      <c r="F145">
        <v>4</v>
      </c>
      <c r="G145">
        <v>25000</v>
      </c>
      <c r="H145" s="3">
        <f>Table1[[#This Row],[Units_Sold]]*Table1[[#This Row],[Price]]</f>
        <v>100000</v>
      </c>
      <c r="I145" s="3">
        <f>Table1[[#This Row],[Total sales]]-Table1[[#This Row],[Price]]</f>
        <v>75000</v>
      </c>
    </row>
    <row r="146" spans="1:9" x14ac:dyDescent="0.3">
      <c r="A146" s="5">
        <v>45436</v>
      </c>
      <c r="B146" t="s">
        <v>17</v>
      </c>
      <c r="C146" t="s">
        <v>14</v>
      </c>
      <c r="D146" t="s">
        <v>15</v>
      </c>
      <c r="E146" t="s">
        <v>10</v>
      </c>
      <c r="F146">
        <v>7</v>
      </c>
      <c r="G146">
        <v>40000</v>
      </c>
      <c r="H146" s="3">
        <f>Table1[[#This Row],[Units_Sold]]*Table1[[#This Row],[Price]]</f>
        <v>280000</v>
      </c>
      <c r="I146" s="3">
        <f>Table1[[#This Row],[Total sales]]-Table1[[#This Row],[Price]]</f>
        <v>240000</v>
      </c>
    </row>
    <row r="147" spans="1:9" x14ac:dyDescent="0.3">
      <c r="A147" s="5">
        <v>45437</v>
      </c>
      <c r="B147" t="s">
        <v>26</v>
      </c>
      <c r="C147" t="s">
        <v>19</v>
      </c>
      <c r="D147" t="s">
        <v>20</v>
      </c>
      <c r="E147" t="s">
        <v>27</v>
      </c>
      <c r="F147">
        <v>5</v>
      </c>
      <c r="G147">
        <v>25000</v>
      </c>
      <c r="H147" s="3">
        <f>Table1[[#This Row],[Units_Sold]]*Table1[[#This Row],[Price]]</f>
        <v>125000</v>
      </c>
      <c r="I147" s="3">
        <f>Table1[[#This Row],[Total sales]]-Table1[[#This Row],[Price]]</f>
        <v>100000</v>
      </c>
    </row>
    <row r="148" spans="1:9" x14ac:dyDescent="0.3">
      <c r="A148" s="5">
        <v>45438</v>
      </c>
      <c r="B148" t="s">
        <v>26</v>
      </c>
      <c r="C148" t="s">
        <v>8</v>
      </c>
      <c r="D148" t="s">
        <v>9</v>
      </c>
      <c r="E148" t="s">
        <v>10</v>
      </c>
      <c r="F148">
        <v>2</v>
      </c>
      <c r="G148">
        <v>70000</v>
      </c>
      <c r="H148" s="3">
        <f>Table1[[#This Row],[Units_Sold]]*Table1[[#This Row],[Price]]</f>
        <v>140000</v>
      </c>
      <c r="I148" s="3">
        <f>Table1[[#This Row],[Total sales]]-Table1[[#This Row],[Price]]</f>
        <v>70000</v>
      </c>
    </row>
    <row r="149" spans="1:9" x14ac:dyDescent="0.3">
      <c r="A149" s="5">
        <v>45439</v>
      </c>
      <c r="B149" t="s">
        <v>26</v>
      </c>
      <c r="C149" t="s">
        <v>19</v>
      </c>
      <c r="D149" t="s">
        <v>20</v>
      </c>
      <c r="E149" t="s">
        <v>16</v>
      </c>
      <c r="F149">
        <v>5</v>
      </c>
      <c r="G149">
        <v>25000</v>
      </c>
      <c r="H149" s="3">
        <f>Table1[[#This Row],[Units_Sold]]*Table1[[#This Row],[Price]]</f>
        <v>125000</v>
      </c>
      <c r="I149" s="3">
        <f>Table1[[#This Row],[Total sales]]-Table1[[#This Row],[Price]]</f>
        <v>100000</v>
      </c>
    </row>
    <row r="150" spans="1:9" x14ac:dyDescent="0.3">
      <c r="A150" s="5">
        <v>45440</v>
      </c>
      <c r="B150" t="s">
        <v>17</v>
      </c>
      <c r="C150" t="s">
        <v>19</v>
      </c>
      <c r="D150" t="s">
        <v>20</v>
      </c>
      <c r="E150" t="s">
        <v>18</v>
      </c>
      <c r="F150">
        <v>8</v>
      </c>
      <c r="G150">
        <v>25000</v>
      </c>
      <c r="H150" s="3">
        <f>Table1[[#This Row],[Units_Sold]]*Table1[[#This Row],[Price]]</f>
        <v>200000</v>
      </c>
      <c r="I150" s="3">
        <f>Table1[[#This Row],[Total sales]]-Table1[[#This Row],[Price]]</f>
        <v>175000</v>
      </c>
    </row>
    <row r="151" spans="1:9" x14ac:dyDescent="0.3">
      <c r="A151" s="5">
        <v>45441</v>
      </c>
      <c r="B151" t="s">
        <v>7</v>
      </c>
      <c r="C151" t="s">
        <v>8</v>
      </c>
      <c r="D151" t="s">
        <v>22</v>
      </c>
      <c r="E151" t="s">
        <v>27</v>
      </c>
      <c r="F151">
        <v>7</v>
      </c>
      <c r="G151">
        <v>60000</v>
      </c>
      <c r="H151" s="3">
        <f>Table1[[#This Row],[Units_Sold]]*Table1[[#This Row],[Price]]</f>
        <v>420000</v>
      </c>
      <c r="I151" s="3">
        <f>Table1[[#This Row],[Total sales]]-Table1[[#This Row],[Price]]</f>
        <v>360000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76950-3388-451C-99AA-D0C12A4E97D2}">
  <dimension ref="A1:H16"/>
  <sheetViews>
    <sheetView workbookViewId="0">
      <selection activeCell="M24" sqref="M24"/>
    </sheetView>
  </sheetViews>
  <sheetFormatPr defaultRowHeight="14.4" x14ac:dyDescent="0.3"/>
  <cols>
    <col min="1" max="1" width="12.5546875" bestFit="1" customWidth="1"/>
    <col min="2" max="2" width="16.21875" bestFit="1" customWidth="1"/>
    <col min="3" max="3" width="7.88671875" bestFit="1" customWidth="1"/>
    <col min="4" max="4" width="12.5546875" bestFit="1" customWidth="1"/>
    <col min="5" max="5" width="16.21875" bestFit="1" customWidth="1"/>
    <col min="6" max="6" width="8.109375" bestFit="1" customWidth="1"/>
    <col min="7" max="7" width="12.5546875" bestFit="1" customWidth="1"/>
    <col min="8" max="8" width="16.21875" bestFit="1" customWidth="1"/>
  </cols>
  <sheetData>
    <row r="1" spans="1:8" x14ac:dyDescent="0.3">
      <c r="A1" s="1" t="s">
        <v>29</v>
      </c>
      <c r="B1" t="s">
        <v>31</v>
      </c>
      <c r="D1" s="1" t="s">
        <v>29</v>
      </c>
      <c r="E1" t="s">
        <v>31</v>
      </c>
      <c r="G1" s="1" t="s">
        <v>29</v>
      </c>
      <c r="H1" t="s">
        <v>31</v>
      </c>
    </row>
    <row r="2" spans="1:8" x14ac:dyDescent="0.3">
      <c r="A2" s="2" t="s">
        <v>8</v>
      </c>
      <c r="B2" s="4">
        <v>15640000</v>
      </c>
      <c r="D2" s="2" t="s">
        <v>27</v>
      </c>
      <c r="E2" s="4">
        <v>6477000</v>
      </c>
      <c r="G2" s="2" t="s">
        <v>32</v>
      </c>
      <c r="H2" s="3">
        <v>7079000</v>
      </c>
    </row>
    <row r="3" spans="1:8" x14ac:dyDescent="0.3">
      <c r="A3" s="2" t="s">
        <v>14</v>
      </c>
      <c r="B3" s="4">
        <v>4940000</v>
      </c>
      <c r="D3" s="2" t="s">
        <v>18</v>
      </c>
      <c r="E3" s="4">
        <v>7915000</v>
      </c>
      <c r="G3" s="2" t="s">
        <v>33</v>
      </c>
      <c r="H3" s="3">
        <v>7221000</v>
      </c>
    </row>
    <row r="4" spans="1:8" x14ac:dyDescent="0.3">
      <c r="A4" s="2" t="s">
        <v>11</v>
      </c>
      <c r="B4" s="4">
        <v>10270000</v>
      </c>
      <c r="D4" s="2" t="s">
        <v>13</v>
      </c>
      <c r="E4" s="4">
        <v>8533000</v>
      </c>
      <c r="G4" s="2" t="s">
        <v>34</v>
      </c>
      <c r="H4" s="3">
        <v>7970000</v>
      </c>
    </row>
    <row r="5" spans="1:8" x14ac:dyDescent="0.3">
      <c r="A5" s="2" t="s">
        <v>19</v>
      </c>
      <c r="B5" s="4">
        <v>4725000</v>
      </c>
      <c r="D5" s="2" t="s">
        <v>10</v>
      </c>
      <c r="E5" s="4">
        <v>7618000</v>
      </c>
      <c r="G5" s="2" t="s">
        <v>35</v>
      </c>
      <c r="H5" s="3">
        <v>6250000</v>
      </c>
    </row>
    <row r="6" spans="1:8" x14ac:dyDescent="0.3">
      <c r="A6" s="2" t="s">
        <v>30</v>
      </c>
      <c r="B6" s="4">
        <v>35575000</v>
      </c>
      <c r="D6" s="2" t="s">
        <v>16</v>
      </c>
      <c r="E6" s="4">
        <v>5032000</v>
      </c>
      <c r="G6" s="2" t="s">
        <v>36</v>
      </c>
      <c r="H6" s="3">
        <v>7055000</v>
      </c>
    </row>
    <row r="7" spans="1:8" x14ac:dyDescent="0.3">
      <c r="D7" s="2" t="s">
        <v>30</v>
      </c>
      <c r="E7" s="4">
        <v>35575000</v>
      </c>
      <c r="G7" s="2" t="s">
        <v>30</v>
      </c>
      <c r="H7" s="3">
        <v>35575000</v>
      </c>
    </row>
    <row r="10" spans="1:8" x14ac:dyDescent="0.3">
      <c r="A10" s="1" t="s">
        <v>29</v>
      </c>
      <c r="B10" t="s">
        <v>31</v>
      </c>
    </row>
    <row r="11" spans="1:8" x14ac:dyDescent="0.3">
      <c r="A11" s="2" t="s">
        <v>7</v>
      </c>
      <c r="B11" s="4">
        <v>10342000</v>
      </c>
    </row>
    <row r="12" spans="1:8" x14ac:dyDescent="0.3">
      <c r="A12" s="2" t="s">
        <v>21</v>
      </c>
      <c r="B12" s="4">
        <v>6674000</v>
      </c>
    </row>
    <row r="13" spans="1:8" x14ac:dyDescent="0.3">
      <c r="A13" s="2" t="s">
        <v>24</v>
      </c>
      <c r="B13" s="4">
        <v>6410000</v>
      </c>
    </row>
    <row r="14" spans="1:8" x14ac:dyDescent="0.3">
      <c r="A14" s="2" t="s">
        <v>26</v>
      </c>
      <c r="B14" s="4">
        <v>6190000</v>
      </c>
    </row>
    <row r="15" spans="1:8" x14ac:dyDescent="0.3">
      <c r="A15" s="2" t="s">
        <v>17</v>
      </c>
      <c r="B15" s="4">
        <v>5959000</v>
      </c>
    </row>
    <row r="16" spans="1:8" x14ac:dyDescent="0.3">
      <c r="A16" s="2" t="s">
        <v>30</v>
      </c>
      <c r="B16" s="4">
        <v>35575000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43B14-D12E-41E3-A8E2-B51E6D062CA4}">
  <dimension ref="A1"/>
  <sheetViews>
    <sheetView showGridLines="0" tabSelected="1" zoomScale="55" zoomScaleNormal="55" workbookViewId="0">
      <selection activeCell="AN23" sqref="AN2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Pivots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 Sharp</cp:lastModifiedBy>
  <dcterms:created xsi:type="dcterms:W3CDTF">2026-02-20T14:57:16Z</dcterms:created>
  <dcterms:modified xsi:type="dcterms:W3CDTF">2026-02-23T15:45:43Z</dcterms:modified>
</cp:coreProperties>
</file>